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CYRCE_A" sheetId="2" state="visible" r:id="rId4"/>
    <sheet name="CYRCE_B" sheetId="3" state="visible" r:id="rId5"/>
    <sheet name="BIOT2_A" sheetId="4" state="visible" r:id="rId6"/>
    <sheet name="BIOT2_B" sheetId="5" state="visible" r:id="rId7"/>
    <sheet name="Synthè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Scénario resserré : équipe tournage à 4 postes (au lieu de 7), tournage 1,5j (au lieu de 2j), kit intermédiaire (au lieu de lourd/multicam). Coût de revient production complet, hors marge commerciale OPS.</t>
        </r>
      </text>
    </comment>
  </commentList>
</comments>
</file>

<file path=xl/sharedStrings.xml><?xml version="1.0" encoding="utf-8"?>
<sst xmlns="http://schemas.openxmlformats.org/spreadsheetml/2006/main" count="254" uniqueCount="112">
  <si>
    <t xml:space="preserve">LÉGENDE : cellules bleues = valeurs modifiables (inputs) — cellules noires = formules.</t>
  </si>
  <si>
    <t xml:space="preserve">SCÉNARIO RESSERRÉ : équipe tournage réduite à 4 postes (Réal/Cadreur/Ingé son/Régie), tournage 1,5j, kit intermédiaire — pour tenir l'enveloppe client. Voir Fiche Approche pour le scénario complet écarté (7 postes, 2j, kit lourd).</t>
  </si>
  <si>
    <t xml:space="preserve">Poste</t>
  </si>
  <si>
    <t xml:space="preserve">Valeur</t>
  </si>
  <si>
    <t xml:space="preserve">Unité</t>
  </si>
  <si>
    <t xml:space="preserve">Source</t>
  </si>
  <si>
    <t xml:space="preserve">Réalisateur (pub/fiction)</t>
  </si>
  <si>
    <t xml:space="preserve">€/j</t>
  </si>
  <si>
    <t xml:space="preserve">BPU IDFM Grille Coûts Production — SPIAC / Marché pub</t>
  </si>
  <si>
    <t xml:space="preserve">Cadreur / JRI (chef opérateur, assure aussi la lumière simple)</t>
  </si>
  <si>
    <t xml:space="preserve">BPU IDFM Grille Coûts Production — COMETES / Malt</t>
  </si>
  <si>
    <t xml:space="preserve">Chef OPS / Ingénieur du son</t>
  </si>
  <si>
    <t xml:space="preserve">BPU IDFM Grille Coûts Production — COMETES / CCPA</t>
  </si>
  <si>
    <t xml:space="preserve">Assistant·e de production (régie)</t>
  </si>
  <si>
    <t xml:space="preserve">BPU IDFM Grille Coûts Production — COMETES</t>
  </si>
  <si>
    <t xml:space="preserve">Monteur·se</t>
  </si>
  <si>
    <t xml:space="preserve">Étalonneur·se</t>
  </si>
  <si>
    <t xml:space="preserve">Mixeur·se</t>
  </si>
  <si>
    <t xml:space="preserve">Motion designer</t>
  </si>
  <si>
    <t xml:space="preserve">BPU IDFM Grille Coûts Production — Marché pub / Malt</t>
  </si>
  <si>
    <t xml:space="preserve">Storyboarder (freelance)</t>
  </si>
  <si>
    <t xml:space="preserve">BPU IDFM Grille Coûts Production — Marché pub</t>
  </si>
  <si>
    <t xml:space="preserve">Taux interne (supervision / coordination)</t>
  </si>
  <si>
    <t xml:space="preserve">Référentiel de Coûts Internes Pôle Audiovisuel — validé Direction</t>
  </si>
  <si>
    <t xml:space="preserve">Comédien image (hors droits)</t>
  </si>
  <si>
    <t xml:space="preserve">Cachet minimum tournage "Publicité &amp; contenus de marque" ≈ 534 €/j (grilles syndicales 2025, hors droits de diffusion) — retenu au plancher conventionnel, pas de marge au-dessus</t>
  </si>
  <si>
    <t xml:space="preserve">Coefficient intermittent (charges Congés Spectacles)</t>
  </si>
  <si>
    <t xml:space="preserve">%</t>
  </si>
  <si>
    <t xml:space="preserve">BPU IDFM / Audiens — cotisation employeur 15,4% sur salaire brut</t>
  </si>
  <si>
    <t xml:space="preserve">Location kit tournage intermédiaire</t>
  </si>
  <si>
    <t xml:space="preserve">BPU IDFM Grille Coûts Production — adapté à une équipe resserrée, décors lumineux naturels (bureaux/coworking)</t>
  </si>
  <si>
    <t xml:space="preserve">Transport aller-retour par personne (train/route, Paris-Normandie)</t>
  </si>
  <si>
    <t xml:space="preserve">€/pers</t>
  </si>
  <si>
    <t xml:space="preserve">Estimation marché — trajet Paris-Normandie (ville non arrêtée), billet SNCF ou route, aller-retour</t>
  </si>
  <si>
    <t xml:space="preserve">Pilotage (% charge de production)</t>
  </si>
  <si>
    <t xml:space="preserve">Méthodologie interne — session CNES/COMETES</t>
  </si>
  <si>
    <t xml:space="preserve">Assurance production (matériel, annulation, couverture tournage)</t>
  </si>
  <si>
    <t xml:space="preserve">BPU IDFM Grille Coûts Production — obligatoire pour tout projet avec tournage</t>
  </si>
  <si>
    <t xml:space="preserve">Provision imprévus (météo, retakes, prolongation)</t>
  </si>
  <si>
    <t xml:space="preserve">TVA</t>
  </si>
  <si>
    <t xml:space="preserve">Taux standard</t>
  </si>
  <si>
    <t xml:space="preserve">Enveloppe budgétaire client (TTC)</t>
  </si>
  <si>
    <t xml:space="preserve">€</t>
  </si>
  <si>
    <t xml:space="preserve">Cahier des charges — Agence Régionale de l'Orientation et des Métiers de Normandie</t>
  </si>
  <si>
    <t xml:space="preserve">Nuitée hôtel par personne (standard province, petit-déj compris)</t>
  </si>
  <si>
    <t xml:space="preserve">€/nuit/pers</t>
  </si>
  <si>
    <t xml:space="preserve">Estimation marché — hôtel budget/pro en province</t>
  </si>
  <si>
    <t xml:space="preserve">Per diem repas par personne et par jour (déjeuner + dîner)</t>
  </si>
  <si>
    <t xml:space="preserve">€/jour/pers</t>
  </si>
  <si>
    <t xml:space="preserve">Barème URSSAF frais professionnels 2026 — indemnité repas, base 2 repas/jour</t>
  </si>
  <si>
    <t xml:space="preserve">Location kit lumière 3 points (LED, softbox, pieds)</t>
  </si>
  <si>
    <t xml:space="preserve">Estimation marché — kit LED 3 points (type Aputure/Godox), indispensable sur les deux scénarios</t>
  </si>
  <si>
    <t xml:space="preserve">— SCÉNARIO A : postes et taux additionnels (équipe complète / tarifs standards, non compressés) —</t>
  </si>
  <si>
    <t xml:space="preserve">1er Assistant réalisateur</t>
  </si>
  <si>
    <t xml:space="preserve">Machiniste</t>
  </si>
  <si>
    <t xml:space="preserve">Chef électricien</t>
  </si>
  <si>
    <t xml:space="preserve">Location kit tournage lourd / multicam</t>
  </si>
  <si>
    <t xml:space="preserve">BPU IDFM Grille Coûts Production — équipe complète, dispositif lumière/son renforcé</t>
  </si>
  <si>
    <t xml:space="preserve">Maquilleuse / Styliste</t>
  </si>
  <si>
    <t xml:space="preserve">Estimation marché — TJM freelance maquillage/coiffure/stylisme plateau, au-dessus du minimum conventionnel CCPA (155-250 €/j film institutionnel/TV, IDCC 2642)</t>
  </si>
  <si>
    <t xml:space="preserve">Fournitures maquillage/coiffure (forfait, hors garde-robe)</t>
  </si>
  <si>
    <t xml:space="preserve">Estimation interne — consommables maquillage/coiffure (produits, accessoires) ; garde-robe non chiffrée, puisée dans les vêtements personnels des comédiens</t>
  </si>
  <si>
    <t xml:space="preserve">Jours / Quantité</t>
  </si>
  <si>
    <t xml:space="preserve">Taux unitaire</t>
  </si>
  <si>
    <t xml:space="preserve">Coût</t>
  </si>
  <si>
    <t xml:space="preserve">PRÉ-PRODUCTION</t>
  </si>
  <si>
    <t xml:space="preserve">Écriture scénario (interne, direction créative)</t>
  </si>
  <si>
    <t xml:space="preserve">Storyboard (freelance)</t>
  </si>
  <si>
    <t xml:space="preserve">Repérages Normandie (régie)</t>
  </si>
  <si>
    <t xml:space="preserve">Casting — recherche &amp; coordination (interne)</t>
  </si>
  <si>
    <t xml:space="preserve">TOURNAGE (2 jours, équipe complète — SCÉNARIO A, 8 postes, kit lourd/multicam)</t>
  </si>
  <si>
    <t xml:space="preserve">Réalisateur</t>
  </si>
  <si>
    <t xml:space="preserve">Cadreur / JRI</t>
  </si>
  <si>
    <t xml:space="preserve">Régie / assistant production</t>
  </si>
  <si>
    <t xml:space="preserve">Supervision interne (présence tournage)</t>
  </si>
  <si>
    <t xml:space="preserve">Comédiens — jours-comédien (2 comédiens × 2j)</t>
  </si>
  <si>
    <t xml:space="preserve">Comédiens — charges Congés Spectacles</t>
  </si>
  <si>
    <t xml:space="preserve">Transport aller-retour équipe (8 pers.)</t>
  </si>
  <si>
    <t xml:space="preserve">Hébergement — nuitées équipe (8 pers. × 2 nuits)</t>
  </si>
  <si>
    <t xml:space="preserve">Repas — per diem équipe (8 pers. × 3 jours)</t>
  </si>
  <si>
    <t xml:space="preserve">Fournitures maquillage/coiffure (forfait)</t>
  </si>
  <si>
    <t xml:space="preserve">POST-PRODUCTION</t>
  </si>
  <si>
    <t xml:space="preserve">Montage</t>
  </si>
  <si>
    <t xml:space="preserve">Étalonnage</t>
  </si>
  <si>
    <t xml:space="preserve">Mixage son</t>
  </si>
  <si>
    <t xml:space="preserve">Motion design / habillage</t>
  </si>
  <si>
    <t xml:space="preserve">Sous-titrage + déclinaisons RS (30s + vertical)</t>
  </si>
  <si>
    <t xml:space="preserve">SOUS-TOTAL PRODUCTION</t>
  </si>
  <si>
    <t xml:space="preserve">Pilotage</t>
  </si>
  <si>
    <t xml:space="preserve">Assurance production</t>
  </si>
  <si>
    <t xml:space="preserve">Provision imprévus</t>
  </si>
  <si>
    <t xml:space="preserve">TOTAL coût de revient (HT)</t>
  </si>
  <si>
    <t xml:space="preserve">TOURNAGE (1,5 jour, équipe resserrée — SCÉNARIO B, contrainte budget AO)</t>
  </si>
  <si>
    <t xml:space="preserve">Comédiens — jours-comédien (2 comédiens × 1.5j)</t>
  </si>
  <si>
    <t xml:space="preserve">Transport aller-retour équipe (4 pers.)</t>
  </si>
  <si>
    <t xml:space="preserve">Hébergement — nuitées équipe (4 pers. × 2 nuits)</t>
  </si>
  <si>
    <t xml:space="preserve">Repas — per diem équipe (4 pers. × 3 jours)</t>
  </si>
  <si>
    <t xml:space="preserve">Montant</t>
  </si>
  <si>
    <t xml:space="preserve">SCÉNARIO A — Tarifs internes (équipe complète, sans compression)</t>
  </si>
  <si>
    <t xml:space="preserve">Total coût de revient CYRCE (HT)</t>
  </si>
  <si>
    <t xml:space="preserve">Total coût de revient BIOT2 (HT)</t>
  </si>
  <si>
    <t xml:space="preserve">TOTAL Scénario A — coût de revient global (HT)</t>
  </si>
  <si>
    <t xml:space="preserve">TOTAL Scénario A (TTC)</t>
  </si>
  <si>
    <t xml:space="preserve">SCÉNARIO B — Contrainte budget AO (resserré)</t>
  </si>
  <si>
    <t xml:space="preserve">TOTAL Scénario B — coût de revient global (HT)</t>
  </si>
  <si>
    <t xml:space="preserve">TOTAL Scénario B (TTC)</t>
  </si>
  <si>
    <t xml:space="preserve">COMPARATIF AU BUDGET CLIENT</t>
  </si>
  <si>
    <t xml:space="preserve">Marge disponible Scénario B vs enveloppe (avant marge commerciale OPS)</t>
  </si>
  <si>
    <t xml:space="preserve">ÉCART A → B — RISQUE / MANQUE À GAGNER SI SCÉNARIO B RETENU</t>
  </si>
  <si>
    <t xml:space="preserve">Écart HT (coût réel équipe complète − coût scénario contraint)</t>
  </si>
  <si>
    <t xml:space="preserve">Écart TTC</t>
  </si>
  <si>
    <t xml:space="preserve">Écart en % du coût réel Scénario A (HT)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</si>
</sst>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8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true" outlineLevel="0" collapsed="false">
      <c r="A4" s="5" t="s">
        <v>6</v>
      </c>
      <c r="B4" s="6" t="n">
        <v>1200</v>
      </c>
      <c r="C4" s="5" t="s">
        <v>7</v>
      </c>
      <c r="D4" s="2" t="s">
        <v>8</v>
      </c>
    </row>
    <row r="5" customFormat="false" ht="15" hidden="false" customHeight="true" outlineLevel="0" collapsed="false">
      <c r="A5" s="5" t="s">
        <v>9</v>
      </c>
      <c r="B5" s="6" t="n">
        <v>550</v>
      </c>
      <c r="C5" s="5" t="s">
        <v>7</v>
      </c>
      <c r="D5" s="2" t="s">
        <v>10</v>
      </c>
    </row>
    <row r="6" customFormat="false" ht="15" hidden="false" customHeight="true" outlineLevel="0" collapsed="false">
      <c r="A6" s="5" t="s">
        <v>11</v>
      </c>
      <c r="B6" s="6" t="n">
        <v>500</v>
      </c>
      <c r="C6" s="5" t="s">
        <v>7</v>
      </c>
      <c r="D6" s="2" t="s">
        <v>12</v>
      </c>
    </row>
    <row r="7" customFormat="false" ht="15" hidden="false" customHeight="true" outlineLevel="0" collapsed="false">
      <c r="A7" s="5" t="s">
        <v>13</v>
      </c>
      <c r="B7" s="6" t="n">
        <v>300</v>
      </c>
      <c r="C7" s="5" t="s">
        <v>7</v>
      </c>
      <c r="D7" s="2" t="s">
        <v>14</v>
      </c>
    </row>
    <row r="8" customFormat="false" ht="15" hidden="false" customHeight="true" outlineLevel="0" collapsed="false">
      <c r="A8" s="5" t="s">
        <v>15</v>
      </c>
      <c r="B8" s="6" t="n">
        <v>500</v>
      </c>
      <c r="C8" s="5" t="s">
        <v>7</v>
      </c>
      <c r="D8" s="2" t="s">
        <v>10</v>
      </c>
    </row>
    <row r="9" customFormat="false" ht="15" hidden="false" customHeight="true" outlineLevel="0" collapsed="false">
      <c r="A9" s="5" t="s">
        <v>16</v>
      </c>
      <c r="B9" s="6" t="n">
        <v>480</v>
      </c>
      <c r="C9" s="5" t="s">
        <v>7</v>
      </c>
      <c r="D9" s="2" t="s">
        <v>10</v>
      </c>
    </row>
    <row r="10" customFormat="false" ht="15" hidden="false" customHeight="true" outlineLevel="0" collapsed="false">
      <c r="A10" s="5" t="s">
        <v>17</v>
      </c>
      <c r="B10" s="6" t="n">
        <v>480</v>
      </c>
      <c r="C10" s="5" t="s">
        <v>7</v>
      </c>
      <c r="D10" s="2" t="s">
        <v>12</v>
      </c>
    </row>
    <row r="11" customFormat="false" ht="15" hidden="false" customHeight="true" outlineLevel="0" collapsed="false">
      <c r="A11" s="5" t="s">
        <v>18</v>
      </c>
      <c r="B11" s="6" t="n">
        <v>600</v>
      </c>
      <c r="C11" s="5" t="s">
        <v>7</v>
      </c>
      <c r="D11" s="2" t="s">
        <v>19</v>
      </c>
    </row>
    <row r="12" customFormat="false" ht="15" hidden="false" customHeight="true" outlineLevel="0" collapsed="false">
      <c r="A12" s="5" t="s">
        <v>20</v>
      </c>
      <c r="B12" s="6" t="n">
        <v>400</v>
      </c>
      <c r="C12" s="5" t="s">
        <v>7</v>
      </c>
      <c r="D12" s="2" t="s">
        <v>21</v>
      </c>
    </row>
    <row r="13" customFormat="false" ht="15" hidden="false" customHeight="true" outlineLevel="0" collapsed="false">
      <c r="A13" s="5" t="s">
        <v>22</v>
      </c>
      <c r="B13" s="6" t="n">
        <v>200</v>
      </c>
      <c r="C13" s="5" t="s">
        <v>7</v>
      </c>
      <c r="D13" s="2" t="s">
        <v>23</v>
      </c>
    </row>
    <row r="14" customFormat="false" ht="15" hidden="false" customHeight="true" outlineLevel="0" collapsed="false">
      <c r="A14" s="5" t="s">
        <v>24</v>
      </c>
      <c r="B14" s="6" t="n">
        <v>534</v>
      </c>
      <c r="C14" s="5" t="s">
        <v>7</v>
      </c>
      <c r="D14" s="2" t="s">
        <v>25</v>
      </c>
    </row>
    <row r="15" customFormat="false" ht="15" hidden="false" customHeight="true" outlineLevel="0" collapsed="false">
      <c r="A15" s="5" t="s">
        <v>26</v>
      </c>
      <c r="B15" s="7" t="n">
        <v>0.154</v>
      </c>
      <c r="C15" s="5" t="s">
        <v>27</v>
      </c>
      <c r="D15" s="2" t="s">
        <v>28</v>
      </c>
    </row>
    <row r="16" customFormat="false" ht="15" hidden="false" customHeight="true" outlineLevel="0" collapsed="false">
      <c r="A16" s="5" t="s">
        <v>29</v>
      </c>
      <c r="B16" s="6" t="n">
        <v>700</v>
      </c>
      <c r="C16" s="5" t="s">
        <v>7</v>
      </c>
      <c r="D16" s="2" t="s">
        <v>30</v>
      </c>
    </row>
    <row r="17" customFormat="false" ht="15" hidden="false" customHeight="true" outlineLevel="0" collapsed="false">
      <c r="A17" s="5" t="s">
        <v>31</v>
      </c>
      <c r="B17" s="6" t="n">
        <v>90</v>
      </c>
      <c r="C17" s="5" t="s">
        <v>32</v>
      </c>
      <c r="D17" s="2" t="s">
        <v>33</v>
      </c>
    </row>
    <row r="18" customFormat="false" ht="15" hidden="false" customHeight="true" outlineLevel="0" collapsed="false">
      <c r="A18" s="5" t="s">
        <v>34</v>
      </c>
      <c r="B18" s="7" t="n">
        <v>0.15</v>
      </c>
      <c r="C18" s="5" t="s">
        <v>27</v>
      </c>
      <c r="D18" s="2" t="s">
        <v>35</v>
      </c>
    </row>
    <row r="19" customFormat="false" ht="15" hidden="false" customHeight="true" outlineLevel="0" collapsed="false">
      <c r="A19" s="5" t="s">
        <v>36</v>
      </c>
      <c r="B19" s="7" t="n">
        <v>0.03</v>
      </c>
      <c r="C19" s="5" t="s">
        <v>27</v>
      </c>
      <c r="D19" s="2" t="s">
        <v>37</v>
      </c>
    </row>
    <row r="20" customFormat="false" ht="15" hidden="false" customHeight="true" outlineLevel="0" collapsed="false">
      <c r="A20" s="5" t="s">
        <v>38</v>
      </c>
      <c r="B20" s="7" t="n">
        <v>0.05</v>
      </c>
      <c r="C20" s="5" t="s">
        <v>27</v>
      </c>
      <c r="D20" s="2" t="s">
        <v>37</v>
      </c>
    </row>
    <row r="21" customFormat="false" ht="15" hidden="false" customHeight="true" outlineLevel="0" collapsed="false">
      <c r="A21" s="5" t="s">
        <v>39</v>
      </c>
      <c r="B21" s="7" t="n">
        <v>0.2</v>
      </c>
      <c r="C21" s="5" t="s">
        <v>27</v>
      </c>
      <c r="D21" s="2" t="s">
        <v>40</v>
      </c>
    </row>
    <row r="22" customFormat="false" ht="15" hidden="false" customHeight="true" outlineLevel="0" collapsed="false">
      <c r="A22" s="5" t="s">
        <v>41</v>
      </c>
      <c r="B22" s="6" t="n">
        <v>40000</v>
      </c>
      <c r="C22" s="5" t="s">
        <v>42</v>
      </c>
      <c r="D22" s="2" t="s">
        <v>43</v>
      </c>
    </row>
    <row r="23" customFormat="false" ht="15" hidden="false" customHeight="false" outlineLevel="0" collapsed="false">
      <c r="A23" s="8" t="s">
        <v>44</v>
      </c>
      <c r="B23" s="9" t="n">
        <v>95</v>
      </c>
      <c r="C23" s="10" t="s">
        <v>45</v>
      </c>
      <c r="D23" s="11" t="s">
        <v>46</v>
      </c>
    </row>
    <row r="24" customFormat="false" ht="15" hidden="false" customHeight="false" outlineLevel="0" collapsed="false">
      <c r="A24" s="5" t="s">
        <v>47</v>
      </c>
      <c r="B24" s="6" t="n">
        <v>40</v>
      </c>
      <c r="C24" s="5" t="s">
        <v>48</v>
      </c>
      <c r="D24" s="2" t="s">
        <v>49</v>
      </c>
    </row>
    <row r="25" customFormat="false" ht="15" hidden="false" customHeight="false" outlineLevel="0" collapsed="false">
      <c r="A25" s="5" t="s">
        <v>50</v>
      </c>
      <c r="B25" s="6" t="n">
        <v>200</v>
      </c>
      <c r="C25" s="5" t="s">
        <v>7</v>
      </c>
      <c r="D25" s="2" t="s">
        <v>51</v>
      </c>
    </row>
    <row r="26" customFormat="false" ht="15" hidden="false" customHeight="false" outlineLevel="0" collapsed="false">
      <c r="A26" s="12" t="s">
        <v>52</v>
      </c>
      <c r="B26" s="6"/>
      <c r="C26" s="5"/>
      <c r="D26" s="2"/>
    </row>
    <row r="27" customFormat="false" ht="15" hidden="false" customHeight="false" outlineLevel="0" collapsed="false">
      <c r="A27" s="5" t="s">
        <v>53</v>
      </c>
      <c r="B27" s="6" t="n">
        <v>450</v>
      </c>
      <c r="C27" s="5" t="s">
        <v>7</v>
      </c>
      <c r="D27" s="2" t="s">
        <v>12</v>
      </c>
    </row>
    <row r="28" customFormat="false" ht="15" hidden="false" customHeight="false" outlineLevel="0" collapsed="false">
      <c r="A28" s="5" t="s">
        <v>54</v>
      </c>
      <c r="B28" s="6" t="n">
        <v>340</v>
      </c>
      <c r="C28" s="5" t="s">
        <v>7</v>
      </c>
      <c r="D28" s="2" t="s">
        <v>12</v>
      </c>
    </row>
    <row r="29" customFormat="false" ht="15" hidden="false" customHeight="false" outlineLevel="0" collapsed="false">
      <c r="A29" s="10" t="s">
        <v>55</v>
      </c>
      <c r="B29" s="9" t="n">
        <v>430</v>
      </c>
      <c r="C29" s="10" t="s">
        <v>7</v>
      </c>
      <c r="D29" s="11" t="s">
        <v>12</v>
      </c>
    </row>
    <row r="30" customFormat="false" ht="15" hidden="false" customHeight="false" outlineLevel="0" collapsed="false">
      <c r="A30" s="10" t="s">
        <v>56</v>
      </c>
      <c r="B30" s="9" t="n">
        <v>1500</v>
      </c>
      <c r="C30" s="10" t="s">
        <v>7</v>
      </c>
      <c r="D30" s="11" t="s">
        <v>57</v>
      </c>
    </row>
    <row r="31" customFormat="false" ht="15" hidden="false" customHeight="false" outlineLevel="0" collapsed="false">
      <c r="A31" s="10" t="s">
        <v>58</v>
      </c>
      <c r="B31" s="9" t="n">
        <v>400</v>
      </c>
      <c r="C31" s="10" t="s">
        <v>7</v>
      </c>
      <c r="D31" s="11" t="s">
        <v>59</v>
      </c>
    </row>
    <row r="32" customFormat="false" ht="15" hidden="false" customHeight="false" outlineLevel="0" collapsed="false">
      <c r="A32" s="10" t="s">
        <v>60</v>
      </c>
      <c r="B32" s="9" t="n">
        <v>80</v>
      </c>
      <c r="C32" s="10" t="s">
        <v>42</v>
      </c>
      <c r="D32" s="11" t="s">
        <v>61</v>
      </c>
    </row>
    <row r="33" customFormat="false" ht="15" hidden="false" customHeight="false" outlineLevel="0" collapsed="false">
      <c r="A33" s="10"/>
      <c r="B33" s="9"/>
      <c r="C33" s="10"/>
      <c r="D3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2</v>
      </c>
      <c r="B1" s="13" t="s">
        <v>62</v>
      </c>
      <c r="C1" s="13" t="s">
        <v>63</v>
      </c>
      <c r="D1" s="13" t="s">
        <v>64</v>
      </c>
    </row>
    <row r="2" customFormat="false" ht="15" hidden="false" customHeight="false" outlineLevel="0" collapsed="false">
      <c r="A2" s="14" t="s">
        <v>65</v>
      </c>
    </row>
    <row r="3" customFormat="false" ht="15" hidden="false" customHeight="false" outlineLevel="0" collapsed="false">
      <c r="A3" s="1" t="s">
        <v>66</v>
      </c>
      <c r="B3" s="1" t="n">
        <v>1.5</v>
      </c>
      <c r="C3" s="15" t="n">
        <f aca="false">Hypothèses!$B$13</f>
        <v>200</v>
      </c>
      <c r="D3" s="16" t="n">
        <f aca="false">B3*C3</f>
        <v>300</v>
      </c>
    </row>
    <row r="4" customFormat="false" ht="15" hidden="false" customHeight="false" outlineLevel="0" collapsed="false">
      <c r="A4" s="1" t="s">
        <v>67</v>
      </c>
      <c r="B4" s="1" t="n">
        <v>1</v>
      </c>
      <c r="C4" s="15" t="n">
        <f aca="false">Hypothèses!$B$12</f>
        <v>400</v>
      </c>
      <c r="D4" s="16" t="n">
        <f aca="false">B4*C4</f>
        <v>400</v>
      </c>
    </row>
    <row r="5" customFormat="false" ht="15" hidden="false" customHeight="false" outlineLevel="0" collapsed="false">
      <c r="A5" s="1" t="s">
        <v>68</v>
      </c>
      <c r="B5" s="1" t="n">
        <v>0.5</v>
      </c>
      <c r="C5" s="15" t="n">
        <f aca="false">Hypothèses!$B$7</f>
        <v>300</v>
      </c>
      <c r="D5" s="16" t="n">
        <f aca="false">B5*C5</f>
        <v>150</v>
      </c>
    </row>
    <row r="6" customFormat="false" ht="15" hidden="false" customHeight="false" outlineLevel="0" collapsed="false">
      <c r="A6" s="1" t="s">
        <v>69</v>
      </c>
      <c r="B6" s="1" t="n">
        <v>1</v>
      </c>
      <c r="C6" s="15" t="n">
        <f aca="false">Hypothèses!$B$13</f>
        <v>200</v>
      </c>
      <c r="D6" s="16" t="n">
        <f aca="false">B6*C6</f>
        <v>200</v>
      </c>
    </row>
    <row r="7" customFormat="false" ht="15" hidden="false" customHeight="false" outlineLevel="0" collapsed="false">
      <c r="A7" s="14" t="s">
        <v>70</v>
      </c>
    </row>
    <row r="8" customFormat="false" ht="15" hidden="false" customHeight="false" outlineLevel="0" collapsed="false">
      <c r="A8" s="1" t="s">
        <v>71</v>
      </c>
      <c r="B8" s="1" t="n">
        <v>2</v>
      </c>
      <c r="C8" s="15" t="n">
        <f aca="false">Hypothèses!$B$4</f>
        <v>1200</v>
      </c>
      <c r="D8" s="16" t="n">
        <f aca="false">B8*C8</f>
        <v>2400</v>
      </c>
    </row>
    <row r="9" customFormat="false" ht="15" hidden="false" customHeight="false" outlineLevel="0" collapsed="false">
      <c r="A9" s="1" t="s">
        <v>53</v>
      </c>
      <c r="B9" s="1" t="n">
        <v>2</v>
      </c>
      <c r="C9" s="15" t="n">
        <f aca="false">Hypothèses!$B$27</f>
        <v>450</v>
      </c>
      <c r="D9" s="16" t="n">
        <f aca="false">B9*C9</f>
        <v>900</v>
      </c>
    </row>
    <row r="10" customFormat="false" ht="15" hidden="false" customHeight="false" outlineLevel="0" collapsed="false">
      <c r="A10" s="1" t="s">
        <v>72</v>
      </c>
      <c r="B10" s="1" t="n">
        <v>2</v>
      </c>
      <c r="C10" s="15" t="n">
        <f aca="false">Hypothèses!$B$5</f>
        <v>550</v>
      </c>
      <c r="D10" s="16" t="n">
        <f aca="false">B10*C10</f>
        <v>1100</v>
      </c>
    </row>
    <row r="11" customFormat="false" ht="15" hidden="false" customHeight="false" outlineLevel="0" collapsed="false">
      <c r="A11" s="1" t="s">
        <v>11</v>
      </c>
      <c r="B11" s="1" t="n">
        <v>2</v>
      </c>
      <c r="C11" s="15" t="n">
        <f aca="false">Hypothèses!$B$6</f>
        <v>500</v>
      </c>
      <c r="D11" s="16" t="n">
        <f aca="false">B11*C11</f>
        <v>1000</v>
      </c>
    </row>
    <row r="12" customFormat="false" ht="15" hidden="false" customHeight="false" outlineLevel="0" collapsed="false">
      <c r="A12" s="1" t="s">
        <v>54</v>
      </c>
      <c r="B12" s="1" t="n">
        <v>2</v>
      </c>
      <c r="C12" s="15" t="n">
        <f aca="false">Hypothèses!$B$28</f>
        <v>340</v>
      </c>
      <c r="D12" s="16" t="n">
        <f aca="false">B12*C12</f>
        <v>680</v>
      </c>
    </row>
    <row r="13" customFormat="false" ht="15" hidden="false" customHeight="false" outlineLevel="0" collapsed="false">
      <c r="A13" s="1" t="s">
        <v>55</v>
      </c>
      <c r="B13" s="1" t="n">
        <v>2</v>
      </c>
      <c r="C13" s="15" t="n">
        <f aca="false">Hypothèses!$B$29</f>
        <v>430</v>
      </c>
      <c r="D13" s="16" t="n">
        <f aca="false">B13*C13</f>
        <v>860</v>
      </c>
    </row>
    <row r="14" customFormat="false" ht="15" hidden="false" customHeight="false" outlineLevel="0" collapsed="false">
      <c r="A14" s="1" t="s">
        <v>73</v>
      </c>
      <c r="B14" s="1" t="n">
        <v>2</v>
      </c>
      <c r="C14" s="15" t="n">
        <f aca="false">Hypothèses!$B$7</f>
        <v>300</v>
      </c>
      <c r="D14" s="16" t="n">
        <f aca="false">B14*C14</f>
        <v>600</v>
      </c>
    </row>
    <row r="15" customFormat="false" ht="15" hidden="false" customHeight="false" outlineLevel="0" collapsed="false">
      <c r="A15" s="1" t="s">
        <v>58</v>
      </c>
      <c r="B15" s="1" t="n">
        <v>2</v>
      </c>
      <c r="C15" s="15" t="n">
        <f aca="false">Hypothèses!$B$31</f>
        <v>400</v>
      </c>
      <c r="D15" s="16" t="n">
        <f aca="false">B15*C15</f>
        <v>800</v>
      </c>
    </row>
    <row r="16" customFormat="false" ht="15" hidden="false" customHeight="false" outlineLevel="0" collapsed="false">
      <c r="A16" s="1" t="s">
        <v>74</v>
      </c>
      <c r="B16" s="1" t="n">
        <v>1</v>
      </c>
      <c r="C16" s="15" t="n">
        <f aca="false">Hypothèses!$B$13</f>
        <v>200</v>
      </c>
      <c r="D16" s="16" t="n">
        <f aca="false">B16*C16</f>
        <v>200</v>
      </c>
    </row>
    <row r="17" customFormat="false" ht="15" hidden="false" customHeight="false" outlineLevel="0" collapsed="false">
      <c r="A17" s="1" t="s">
        <v>75</v>
      </c>
      <c r="B17" s="1" t="n">
        <v>4</v>
      </c>
      <c r="C17" s="15" t="n">
        <f aca="false">Hypothèses!$B$14</f>
        <v>534</v>
      </c>
      <c r="D17" s="16" t="n">
        <f aca="false">B17*C17</f>
        <v>2136</v>
      </c>
    </row>
    <row r="18" customFormat="false" ht="15" hidden="false" customHeight="false" outlineLevel="0" collapsed="false">
      <c r="A18" s="1" t="s">
        <v>76</v>
      </c>
      <c r="C18" s="17" t="n">
        <f aca="false">Hypothèses!$B$15</f>
        <v>0.154</v>
      </c>
      <c r="D18" s="16" t="n">
        <f aca="false">D17*C18</f>
        <v>328.944</v>
      </c>
    </row>
    <row r="19" customFormat="false" ht="15" hidden="false" customHeight="false" outlineLevel="0" collapsed="false">
      <c r="A19" s="1" t="s">
        <v>77</v>
      </c>
      <c r="B19" s="1" t="n">
        <v>8</v>
      </c>
      <c r="C19" s="15" t="n">
        <f aca="false">Hypothèses!$B$17</f>
        <v>90</v>
      </c>
      <c r="D19" s="16" t="n">
        <f aca="false">B19*C19</f>
        <v>720</v>
      </c>
    </row>
    <row r="20" customFormat="false" ht="15" hidden="false" customHeight="false" outlineLevel="0" collapsed="false">
      <c r="A20" s="1" t="s">
        <v>78</v>
      </c>
      <c r="B20" s="1" t="n">
        <v>16</v>
      </c>
      <c r="C20" s="15" t="n">
        <f aca="false">Hypothèses!$B$23</f>
        <v>95</v>
      </c>
      <c r="D20" s="16" t="n">
        <f aca="false">B20*C20</f>
        <v>1520</v>
      </c>
    </row>
    <row r="21" customFormat="false" ht="15" hidden="false" customHeight="false" outlineLevel="0" collapsed="false">
      <c r="A21" s="1" t="s">
        <v>79</v>
      </c>
      <c r="B21" s="1" t="n">
        <v>24</v>
      </c>
      <c r="C21" s="15" t="n">
        <f aca="false">Hypothèses!$B$24</f>
        <v>40</v>
      </c>
      <c r="D21" s="16" t="n">
        <f aca="false">B21*C21</f>
        <v>960</v>
      </c>
    </row>
    <row r="22" customFormat="false" ht="15" hidden="false" customHeight="false" outlineLevel="0" collapsed="false">
      <c r="A22" s="1" t="s">
        <v>56</v>
      </c>
      <c r="B22" s="1" t="n">
        <v>2</v>
      </c>
      <c r="C22" s="15" t="n">
        <f aca="false">Hypothèses!$B$30</f>
        <v>1500</v>
      </c>
      <c r="D22" s="16" t="n">
        <f aca="false">B22*C22</f>
        <v>3000</v>
      </c>
    </row>
    <row r="23" customFormat="false" ht="15" hidden="false" customHeight="false" outlineLevel="0" collapsed="false">
      <c r="A23" s="1" t="s">
        <v>50</v>
      </c>
      <c r="B23" s="1" t="n">
        <v>2</v>
      </c>
      <c r="C23" s="15" t="n">
        <f aca="false">Hypothèses!$B$25</f>
        <v>200</v>
      </c>
      <c r="D23" s="16" t="n">
        <f aca="false">B23*C23</f>
        <v>400</v>
      </c>
    </row>
    <row r="24" customFormat="false" ht="15" hidden="false" customHeight="false" outlineLevel="0" collapsed="false">
      <c r="A24" s="1" t="s">
        <v>80</v>
      </c>
      <c r="B24" s="1" t="n">
        <v>1</v>
      </c>
      <c r="C24" s="15" t="n">
        <f aca="false">Hypothèses!$B$32</f>
        <v>80</v>
      </c>
      <c r="D24" s="16" t="n">
        <f aca="false">B24*C24</f>
        <v>80</v>
      </c>
    </row>
    <row r="25" customFormat="false" ht="15" hidden="false" customHeight="false" outlineLevel="0" collapsed="false">
      <c r="A25" s="14" t="s">
        <v>81</v>
      </c>
    </row>
    <row r="26" customFormat="false" ht="15" hidden="false" customHeight="false" outlineLevel="0" collapsed="false">
      <c r="A26" s="1" t="s">
        <v>82</v>
      </c>
      <c r="B26" s="1" t="n">
        <v>3</v>
      </c>
      <c r="C26" s="15" t="n">
        <f aca="false">Hypothèses!$B$8</f>
        <v>500</v>
      </c>
      <c r="D26" s="16" t="n">
        <f aca="false">B26*C26</f>
        <v>1500</v>
      </c>
    </row>
    <row r="27" customFormat="false" ht="15" hidden="false" customHeight="false" outlineLevel="0" collapsed="false">
      <c r="A27" s="1" t="s">
        <v>83</v>
      </c>
      <c r="B27" s="1" t="n">
        <v>0.5</v>
      </c>
      <c r="C27" s="15" t="n">
        <f aca="false">Hypothèses!$B$9</f>
        <v>480</v>
      </c>
      <c r="D27" s="16" t="n">
        <f aca="false">B27*C27</f>
        <v>240</v>
      </c>
    </row>
    <row r="28" customFormat="false" ht="15" hidden="false" customHeight="false" outlineLevel="0" collapsed="false">
      <c r="A28" s="1" t="s">
        <v>84</v>
      </c>
      <c r="B28" s="1" t="n">
        <v>0.5</v>
      </c>
      <c r="C28" s="15" t="n">
        <f aca="false">Hypothèses!$B$10</f>
        <v>480</v>
      </c>
      <c r="D28" s="16" t="n">
        <f aca="false">B28*C28</f>
        <v>240</v>
      </c>
    </row>
    <row r="29" customFormat="false" ht="15" hidden="false" customHeight="false" outlineLevel="0" collapsed="false">
      <c r="A29" s="1" t="s">
        <v>85</v>
      </c>
      <c r="B29" s="1" t="n">
        <v>1</v>
      </c>
      <c r="C29" s="15" t="n">
        <f aca="false">Hypothèses!$B$11</f>
        <v>600</v>
      </c>
      <c r="D29" s="16" t="n">
        <f aca="false">B29*C29</f>
        <v>600</v>
      </c>
    </row>
    <row r="30" customFormat="false" ht="15" hidden="false" customHeight="false" outlineLevel="0" collapsed="false">
      <c r="A30" s="1" t="s">
        <v>86</v>
      </c>
      <c r="B30" s="1" t="n">
        <v>1</v>
      </c>
      <c r="C30" s="15" t="n">
        <f aca="false">Hypothèses!$B$8</f>
        <v>500</v>
      </c>
      <c r="D30" s="16" t="n">
        <f aca="false">B30*C30</f>
        <v>500</v>
      </c>
    </row>
    <row r="31" customFormat="false" ht="15" hidden="false" customHeight="false" outlineLevel="0" collapsed="false">
      <c r="A31" s="1" t="s">
        <v>87</v>
      </c>
      <c r="D31" s="16" t="n">
        <f aca="false">D3+D4+D5+D6+D8+D9+D10+D11+D12+D13+D14+D15+D16+D17+D18+D19+D20+D21+D22+D23+D24+D26+D27+D28+D29+D30</f>
        <v>21814.944</v>
      </c>
    </row>
    <row r="32" customFormat="false" ht="15" hidden="false" customHeight="false" outlineLevel="0" collapsed="false">
      <c r="A32" s="1" t="s">
        <v>88</v>
      </c>
      <c r="C32" s="17" t="n">
        <f aca="false">Hypothèses!$B$18</f>
        <v>0.15</v>
      </c>
      <c r="D32" s="16" t="n">
        <f aca="false">D31*Hypothèses!$B$18</f>
        <v>3272.2416</v>
      </c>
    </row>
    <row r="33" customFormat="false" ht="15" hidden="false" customHeight="false" outlineLevel="0" collapsed="false">
      <c r="A33" s="1" t="s">
        <v>89</v>
      </c>
      <c r="C33" s="17" t="n">
        <f aca="false">Hypothèses!$B$19</f>
        <v>0.03</v>
      </c>
      <c r="D33" s="16" t="n">
        <f aca="false">D31*Hypothèses!$B$19</f>
        <v>654.44832</v>
      </c>
    </row>
    <row r="34" customFormat="false" ht="15" hidden="false" customHeight="false" outlineLevel="0" collapsed="false">
      <c r="A34" s="1" t="s">
        <v>90</v>
      </c>
      <c r="C34" s="17" t="n">
        <f aca="false">Hypothèses!$B$20</f>
        <v>0.05</v>
      </c>
      <c r="D34" s="16" t="n">
        <f aca="false">D31*Hypothèses!$B$20</f>
        <v>1090.7472</v>
      </c>
    </row>
    <row r="35" customFormat="false" ht="15" hidden="false" customHeight="false" outlineLevel="0" collapsed="false">
      <c r="A35" s="1" t="s">
        <v>91</v>
      </c>
      <c r="D35" s="16" t="n">
        <f aca="false">D31+D32+D33+D34</f>
        <v>26832.38112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2</v>
      </c>
      <c r="B1" s="13" t="s">
        <v>62</v>
      </c>
      <c r="C1" s="13" t="s">
        <v>63</v>
      </c>
      <c r="D1" s="13" t="s">
        <v>64</v>
      </c>
    </row>
    <row r="2" customFormat="false" ht="15" hidden="false" customHeight="false" outlineLevel="0" collapsed="false">
      <c r="A2" s="14" t="s">
        <v>65</v>
      </c>
    </row>
    <row r="3" customFormat="false" ht="15" hidden="false" customHeight="false" outlineLevel="0" collapsed="false">
      <c r="A3" s="1" t="s">
        <v>66</v>
      </c>
      <c r="B3" s="1" t="n">
        <v>1.5</v>
      </c>
      <c r="C3" s="15" t="n">
        <f aca="false">Hypothèses!$B$13</f>
        <v>200</v>
      </c>
      <c r="D3" s="16" t="n">
        <f aca="false">B3*C3</f>
        <v>300</v>
      </c>
    </row>
    <row r="4" customFormat="false" ht="15" hidden="false" customHeight="false" outlineLevel="0" collapsed="false">
      <c r="A4" s="1" t="s">
        <v>67</v>
      </c>
      <c r="B4" s="1" t="n">
        <v>1</v>
      </c>
      <c r="C4" s="15" t="n">
        <f aca="false">Hypothèses!$B$12</f>
        <v>400</v>
      </c>
      <c r="D4" s="16" t="n">
        <f aca="false">B4*C4</f>
        <v>400</v>
      </c>
    </row>
    <row r="5" customFormat="false" ht="15" hidden="false" customHeight="false" outlineLevel="0" collapsed="false">
      <c r="A5" s="1" t="s">
        <v>68</v>
      </c>
      <c r="B5" s="1" t="n">
        <v>0.5</v>
      </c>
      <c r="C5" s="15" t="n">
        <f aca="false">Hypothèses!$B$7</f>
        <v>300</v>
      </c>
      <c r="D5" s="16" t="n">
        <f aca="false">B5*C5</f>
        <v>150</v>
      </c>
    </row>
    <row r="6" customFormat="false" ht="15" hidden="false" customHeight="false" outlineLevel="0" collapsed="false">
      <c r="A6" s="1" t="s">
        <v>69</v>
      </c>
      <c r="B6" s="1" t="n">
        <v>1</v>
      </c>
      <c r="C6" s="15" t="n">
        <f aca="false">Hypothèses!$B$13</f>
        <v>200</v>
      </c>
      <c r="D6" s="16" t="n">
        <f aca="false">B6*C6</f>
        <v>200</v>
      </c>
    </row>
    <row r="7" customFormat="false" ht="15" hidden="false" customHeight="false" outlineLevel="0" collapsed="false">
      <c r="A7" s="14" t="s">
        <v>92</v>
      </c>
    </row>
    <row r="8" customFormat="false" ht="15" hidden="false" customHeight="false" outlineLevel="0" collapsed="false">
      <c r="A8" s="1" t="s">
        <v>71</v>
      </c>
      <c r="B8" s="1" t="n">
        <v>1.5</v>
      </c>
      <c r="C8" s="15" t="n">
        <f aca="false">Hypothèses!$B$4</f>
        <v>1200</v>
      </c>
      <c r="D8" s="16" t="n">
        <f aca="false">B8*C8</f>
        <v>1800</v>
      </c>
    </row>
    <row r="9" customFormat="false" ht="15" hidden="false" customHeight="false" outlineLevel="0" collapsed="false">
      <c r="A9" s="1" t="s">
        <v>72</v>
      </c>
      <c r="B9" s="1" t="n">
        <v>1.5</v>
      </c>
      <c r="C9" s="15" t="n">
        <f aca="false">Hypothèses!$B$5</f>
        <v>550</v>
      </c>
      <c r="D9" s="16" t="n">
        <f aca="false">B9*C9</f>
        <v>825</v>
      </c>
    </row>
    <row r="10" customFormat="false" ht="15" hidden="false" customHeight="false" outlineLevel="0" collapsed="false">
      <c r="A10" s="1" t="s">
        <v>11</v>
      </c>
      <c r="B10" s="1" t="n">
        <v>1.5</v>
      </c>
      <c r="C10" s="15" t="n">
        <f aca="false">Hypothèses!$B$6</f>
        <v>500</v>
      </c>
      <c r="D10" s="16" t="n">
        <f aca="false">B10*C10</f>
        <v>750</v>
      </c>
    </row>
    <row r="11" customFormat="false" ht="15" hidden="false" customHeight="false" outlineLevel="0" collapsed="false">
      <c r="A11" s="1" t="s">
        <v>73</v>
      </c>
      <c r="B11" s="1" t="n">
        <v>1.5</v>
      </c>
      <c r="C11" s="15" t="n">
        <f aca="false">Hypothèses!$B$7</f>
        <v>300</v>
      </c>
      <c r="D11" s="16" t="n">
        <f aca="false">B11*C11</f>
        <v>450</v>
      </c>
    </row>
    <row r="12" customFormat="false" ht="15" hidden="false" customHeight="false" outlineLevel="0" collapsed="false">
      <c r="A12" s="1" t="s">
        <v>74</v>
      </c>
      <c r="B12" s="1" t="n">
        <v>0.5</v>
      </c>
      <c r="C12" s="15" t="n">
        <f aca="false">Hypothèses!$B$13</f>
        <v>200</v>
      </c>
      <c r="D12" s="16" t="n">
        <f aca="false">B12*C12</f>
        <v>100</v>
      </c>
    </row>
    <row r="13" customFormat="false" ht="15" hidden="false" customHeight="false" outlineLevel="0" collapsed="false">
      <c r="A13" s="1" t="s">
        <v>93</v>
      </c>
      <c r="B13" s="1" t="n">
        <v>3</v>
      </c>
      <c r="C13" s="15" t="n">
        <f aca="false">Hypothèses!$B$14</f>
        <v>534</v>
      </c>
      <c r="D13" s="16" t="n">
        <f aca="false">B13*C13</f>
        <v>1602</v>
      </c>
    </row>
    <row r="14" customFormat="false" ht="15" hidden="false" customHeight="false" outlineLevel="0" collapsed="false">
      <c r="A14" s="1" t="s">
        <v>76</v>
      </c>
      <c r="C14" s="17" t="n">
        <f aca="false">Hypothèses!$B$15</f>
        <v>0.154</v>
      </c>
      <c r="D14" s="16" t="n">
        <f aca="false">D13*C14</f>
        <v>246.708</v>
      </c>
    </row>
    <row r="15" customFormat="false" ht="15" hidden="false" customHeight="false" outlineLevel="0" collapsed="false">
      <c r="A15" s="1" t="s">
        <v>94</v>
      </c>
      <c r="B15" s="1" t="n">
        <v>4</v>
      </c>
      <c r="C15" s="15" t="n">
        <f aca="false">Hypothèses!$B$17</f>
        <v>90</v>
      </c>
      <c r="D15" s="16" t="n">
        <f aca="false">B15*C15</f>
        <v>360</v>
      </c>
    </row>
    <row r="16" customFormat="false" ht="15" hidden="false" customHeight="false" outlineLevel="0" collapsed="false">
      <c r="A16" s="1" t="s">
        <v>95</v>
      </c>
      <c r="B16" s="1" t="n">
        <v>8</v>
      </c>
      <c r="C16" s="15" t="n">
        <f aca="false">Hypothèses!$B$23</f>
        <v>95</v>
      </c>
      <c r="D16" s="16" t="n">
        <f aca="false">B16*C16</f>
        <v>760</v>
      </c>
    </row>
    <row r="17" customFormat="false" ht="15" hidden="false" customHeight="false" outlineLevel="0" collapsed="false">
      <c r="A17" s="1" t="s">
        <v>96</v>
      </c>
      <c r="B17" s="1" t="n">
        <v>12</v>
      </c>
      <c r="C17" s="15" t="n">
        <f aca="false">Hypothèses!$B$24</f>
        <v>40</v>
      </c>
      <c r="D17" s="16" t="n">
        <f aca="false">B17*C17</f>
        <v>480</v>
      </c>
    </row>
    <row r="18" customFormat="false" ht="15" hidden="false" customHeight="false" outlineLevel="0" collapsed="false">
      <c r="A18" s="1" t="s">
        <v>29</v>
      </c>
      <c r="B18" s="1" t="n">
        <v>1.5</v>
      </c>
      <c r="C18" s="15" t="n">
        <f aca="false">Hypothèses!$B$16</f>
        <v>700</v>
      </c>
      <c r="D18" s="16" t="n">
        <f aca="false">B18*C18</f>
        <v>1050</v>
      </c>
    </row>
    <row r="19" customFormat="false" ht="15" hidden="false" customHeight="false" outlineLevel="0" collapsed="false">
      <c r="A19" s="1" t="s">
        <v>50</v>
      </c>
      <c r="B19" s="1" t="n">
        <v>1.5</v>
      </c>
      <c r="C19" s="15" t="n">
        <f aca="false">Hypothèses!$B$25</f>
        <v>200</v>
      </c>
      <c r="D19" s="16" t="n">
        <f aca="false">B19*C19</f>
        <v>300</v>
      </c>
    </row>
    <row r="20" customFormat="false" ht="15" hidden="false" customHeight="false" outlineLevel="0" collapsed="false">
      <c r="A20" s="14" t="s">
        <v>81</v>
      </c>
    </row>
    <row r="21" customFormat="false" ht="15" hidden="false" customHeight="false" outlineLevel="0" collapsed="false">
      <c r="A21" s="1" t="s">
        <v>82</v>
      </c>
      <c r="B21" s="1" t="n">
        <v>3</v>
      </c>
      <c r="C21" s="15" t="n">
        <f aca="false">Hypothèses!$B$8</f>
        <v>500</v>
      </c>
      <c r="D21" s="16" t="n">
        <f aca="false">B21*C21</f>
        <v>1500</v>
      </c>
    </row>
    <row r="22" customFormat="false" ht="15" hidden="false" customHeight="false" outlineLevel="0" collapsed="false">
      <c r="A22" s="1" t="s">
        <v>83</v>
      </c>
      <c r="B22" s="1" t="n">
        <v>0.5</v>
      </c>
      <c r="C22" s="15" t="n">
        <f aca="false">Hypothèses!$B$9</f>
        <v>480</v>
      </c>
      <c r="D22" s="16" t="n">
        <f aca="false">B22*C22</f>
        <v>240</v>
      </c>
    </row>
    <row r="23" customFormat="false" ht="15" hidden="false" customHeight="false" outlineLevel="0" collapsed="false">
      <c r="A23" s="1" t="s">
        <v>84</v>
      </c>
      <c r="B23" s="1" t="n">
        <v>0.5</v>
      </c>
      <c r="C23" s="15" t="n">
        <f aca="false">Hypothèses!$B$10</f>
        <v>480</v>
      </c>
      <c r="D23" s="16" t="n">
        <f aca="false">B23*C23</f>
        <v>240</v>
      </c>
    </row>
    <row r="24" customFormat="false" ht="15" hidden="false" customHeight="false" outlineLevel="0" collapsed="false">
      <c r="A24" s="1" t="s">
        <v>85</v>
      </c>
      <c r="B24" s="1" t="n">
        <v>1</v>
      </c>
      <c r="C24" s="15" t="n">
        <f aca="false">Hypothèses!$B$11</f>
        <v>600</v>
      </c>
      <c r="D24" s="16" t="n">
        <f aca="false">B24*C24</f>
        <v>600</v>
      </c>
    </row>
    <row r="25" customFormat="false" ht="15" hidden="false" customHeight="false" outlineLevel="0" collapsed="false">
      <c r="A25" s="1" t="s">
        <v>86</v>
      </c>
      <c r="B25" s="1" t="n">
        <v>1</v>
      </c>
      <c r="C25" s="15" t="n">
        <f aca="false">Hypothèses!$B$8</f>
        <v>500</v>
      </c>
      <c r="D25" s="16" t="n">
        <f aca="false">B25*C25</f>
        <v>500</v>
      </c>
    </row>
    <row r="26" customFormat="false" ht="15" hidden="false" customHeight="false" outlineLevel="0" collapsed="false">
      <c r="A26" s="1" t="s">
        <v>87</v>
      </c>
      <c r="D26" s="16" t="n">
        <f aca="false">D3+D4+D5+D6+D8+D9+D10+D11+D12+D13+D14+D15+D16+D17+D18+D19+D21+D22+D23+D24+D25</f>
        <v>12853.708</v>
      </c>
    </row>
    <row r="27" customFormat="false" ht="15" hidden="false" customHeight="false" outlineLevel="0" collapsed="false">
      <c r="A27" s="1" t="s">
        <v>88</v>
      </c>
      <c r="C27" s="17" t="n">
        <f aca="false">Hypothèses!$B$18</f>
        <v>0.15</v>
      </c>
      <c r="D27" s="16" t="n">
        <f aca="false">D26*Hypothèses!$B$18</f>
        <v>1928.0562</v>
      </c>
    </row>
    <row r="28" customFormat="false" ht="15" hidden="false" customHeight="false" outlineLevel="0" collapsed="false">
      <c r="A28" s="1" t="s">
        <v>89</v>
      </c>
      <c r="C28" s="17" t="n">
        <f aca="false">Hypothèses!$B$19</f>
        <v>0.03</v>
      </c>
      <c r="D28" s="16" t="n">
        <f aca="false">D26*Hypothèses!$B$19</f>
        <v>385.61124</v>
      </c>
    </row>
    <row r="29" customFormat="false" ht="15" hidden="false" customHeight="false" outlineLevel="0" collapsed="false">
      <c r="A29" s="1" t="s">
        <v>90</v>
      </c>
      <c r="C29" s="17" t="n">
        <f aca="false">Hypothèses!$B$20</f>
        <v>0.05</v>
      </c>
      <c r="D29" s="16" t="n">
        <f aca="false">D26*Hypothèses!$B$20</f>
        <v>642.6854</v>
      </c>
    </row>
    <row r="30" customFormat="false" ht="15" hidden="false" customHeight="false" outlineLevel="0" collapsed="false">
      <c r="A30" s="1" t="s">
        <v>91</v>
      </c>
      <c r="D30" s="16" t="n">
        <f aca="false">D26+D27+D28+D29</f>
        <v>15810.06084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2</v>
      </c>
      <c r="B1" s="13" t="s">
        <v>62</v>
      </c>
      <c r="C1" s="13" t="s">
        <v>63</v>
      </c>
      <c r="D1" s="13" t="s">
        <v>64</v>
      </c>
    </row>
    <row r="2" customFormat="false" ht="15" hidden="false" customHeight="false" outlineLevel="0" collapsed="false">
      <c r="A2" s="14" t="s">
        <v>65</v>
      </c>
    </row>
    <row r="3" customFormat="false" ht="15" hidden="false" customHeight="false" outlineLevel="0" collapsed="false">
      <c r="A3" s="1" t="s">
        <v>66</v>
      </c>
      <c r="B3" s="1" t="n">
        <v>1.5</v>
      </c>
      <c r="C3" s="15" t="n">
        <f aca="false">Hypothèses!$B$13</f>
        <v>200</v>
      </c>
      <c r="D3" s="16" t="n">
        <f aca="false">B3*C3</f>
        <v>300</v>
      </c>
    </row>
    <row r="4" customFormat="false" ht="15" hidden="false" customHeight="false" outlineLevel="0" collapsed="false">
      <c r="A4" s="1" t="s">
        <v>67</v>
      </c>
      <c r="B4" s="1" t="n">
        <v>1</v>
      </c>
      <c r="C4" s="15" t="n">
        <f aca="false">Hypothèses!$B$12</f>
        <v>400</v>
      </c>
      <c r="D4" s="16" t="n">
        <f aca="false">B4*C4</f>
        <v>400</v>
      </c>
    </row>
    <row r="5" customFormat="false" ht="15" hidden="false" customHeight="false" outlineLevel="0" collapsed="false">
      <c r="A5" s="1" t="s">
        <v>68</v>
      </c>
      <c r="B5" s="1" t="n">
        <v>0.5</v>
      </c>
      <c r="C5" s="15" t="n">
        <f aca="false">Hypothèses!$B$7</f>
        <v>300</v>
      </c>
      <c r="D5" s="16" t="n">
        <f aca="false">B5*C5</f>
        <v>150</v>
      </c>
    </row>
    <row r="6" customFormat="false" ht="15" hidden="false" customHeight="false" outlineLevel="0" collapsed="false">
      <c r="A6" s="1" t="s">
        <v>69</v>
      </c>
      <c r="B6" s="1" t="n">
        <v>1</v>
      </c>
      <c r="C6" s="15" t="n">
        <f aca="false">Hypothèses!$B$13</f>
        <v>200</v>
      </c>
      <c r="D6" s="16" t="n">
        <f aca="false">B6*C6</f>
        <v>200</v>
      </c>
    </row>
    <row r="7" customFormat="false" ht="15" hidden="false" customHeight="false" outlineLevel="0" collapsed="false">
      <c r="A7" s="14" t="s">
        <v>70</v>
      </c>
    </row>
    <row r="8" customFormat="false" ht="15" hidden="false" customHeight="false" outlineLevel="0" collapsed="false">
      <c r="A8" s="1" t="s">
        <v>71</v>
      </c>
      <c r="B8" s="1" t="n">
        <v>2</v>
      </c>
      <c r="C8" s="15" t="n">
        <f aca="false">Hypothèses!$B$4</f>
        <v>1200</v>
      </c>
      <c r="D8" s="16" t="n">
        <f aca="false">B8*C8</f>
        <v>2400</v>
      </c>
    </row>
    <row r="9" customFormat="false" ht="15" hidden="false" customHeight="false" outlineLevel="0" collapsed="false">
      <c r="A9" s="1" t="s">
        <v>53</v>
      </c>
      <c r="B9" s="1" t="n">
        <v>2</v>
      </c>
      <c r="C9" s="15" t="n">
        <f aca="false">Hypothèses!$B$27</f>
        <v>450</v>
      </c>
      <c r="D9" s="16" t="n">
        <f aca="false">B9*C9</f>
        <v>900</v>
      </c>
    </row>
    <row r="10" customFormat="false" ht="15" hidden="false" customHeight="false" outlineLevel="0" collapsed="false">
      <c r="A10" s="1" t="s">
        <v>72</v>
      </c>
      <c r="B10" s="1" t="n">
        <v>2</v>
      </c>
      <c r="C10" s="15" t="n">
        <f aca="false">Hypothèses!$B$5</f>
        <v>550</v>
      </c>
      <c r="D10" s="16" t="n">
        <f aca="false">B10*C10</f>
        <v>1100</v>
      </c>
    </row>
    <row r="11" customFormat="false" ht="15" hidden="false" customHeight="false" outlineLevel="0" collapsed="false">
      <c r="A11" s="1" t="s">
        <v>11</v>
      </c>
      <c r="B11" s="1" t="n">
        <v>2</v>
      </c>
      <c r="C11" s="15" t="n">
        <f aca="false">Hypothèses!$B$6</f>
        <v>500</v>
      </c>
      <c r="D11" s="16" t="n">
        <f aca="false">B11*C11</f>
        <v>1000</v>
      </c>
    </row>
    <row r="12" customFormat="false" ht="15" hidden="false" customHeight="false" outlineLevel="0" collapsed="false">
      <c r="A12" s="1" t="s">
        <v>54</v>
      </c>
      <c r="B12" s="1" t="n">
        <v>2</v>
      </c>
      <c r="C12" s="15" t="n">
        <f aca="false">Hypothèses!$B$28</f>
        <v>340</v>
      </c>
      <c r="D12" s="16" t="n">
        <f aca="false">B12*C12</f>
        <v>680</v>
      </c>
    </row>
    <row r="13" customFormat="false" ht="15" hidden="false" customHeight="false" outlineLevel="0" collapsed="false">
      <c r="A13" s="1" t="s">
        <v>55</v>
      </c>
      <c r="B13" s="1" t="n">
        <v>2</v>
      </c>
      <c r="C13" s="15" t="n">
        <f aca="false">Hypothèses!$B$29</f>
        <v>430</v>
      </c>
      <c r="D13" s="16" t="n">
        <f aca="false">B13*C13</f>
        <v>860</v>
      </c>
    </row>
    <row r="14" customFormat="false" ht="15" hidden="false" customHeight="false" outlineLevel="0" collapsed="false">
      <c r="A14" s="1" t="s">
        <v>73</v>
      </c>
      <c r="B14" s="1" t="n">
        <v>2</v>
      </c>
      <c r="C14" s="15" t="n">
        <f aca="false">Hypothèses!$B$7</f>
        <v>300</v>
      </c>
      <c r="D14" s="16" t="n">
        <f aca="false">B14*C14</f>
        <v>600</v>
      </c>
    </row>
    <row r="15" customFormat="false" ht="15" hidden="false" customHeight="false" outlineLevel="0" collapsed="false">
      <c r="A15" s="1" t="s">
        <v>58</v>
      </c>
      <c r="B15" s="1" t="n">
        <v>2</v>
      </c>
      <c r="C15" s="15" t="n">
        <f aca="false">Hypothèses!$B$31</f>
        <v>400</v>
      </c>
      <c r="D15" s="16" t="n">
        <f aca="false">B15*C15</f>
        <v>800</v>
      </c>
    </row>
    <row r="16" customFormat="false" ht="15" hidden="false" customHeight="false" outlineLevel="0" collapsed="false">
      <c r="A16" s="1" t="s">
        <v>74</v>
      </c>
      <c r="B16" s="1" t="n">
        <v>1</v>
      </c>
      <c r="C16" s="15" t="n">
        <f aca="false">Hypothèses!$B$13</f>
        <v>200</v>
      </c>
      <c r="D16" s="16" t="n">
        <f aca="false">B16*C16</f>
        <v>200</v>
      </c>
    </row>
    <row r="17" customFormat="false" ht="15" hidden="false" customHeight="false" outlineLevel="0" collapsed="false">
      <c r="A17" s="1" t="s">
        <v>75</v>
      </c>
      <c r="B17" s="1" t="n">
        <v>4</v>
      </c>
      <c r="C17" s="15" t="n">
        <f aca="false">Hypothèses!$B$14</f>
        <v>534</v>
      </c>
      <c r="D17" s="16" t="n">
        <f aca="false">B17*C17</f>
        <v>2136</v>
      </c>
    </row>
    <row r="18" customFormat="false" ht="15" hidden="false" customHeight="false" outlineLevel="0" collapsed="false">
      <c r="A18" s="1" t="s">
        <v>76</v>
      </c>
      <c r="C18" s="17" t="n">
        <f aca="false">Hypothèses!$B$15</f>
        <v>0.154</v>
      </c>
      <c r="D18" s="16" t="n">
        <f aca="false">D17*C18</f>
        <v>328.944</v>
      </c>
    </row>
    <row r="19" customFormat="false" ht="15" hidden="false" customHeight="false" outlineLevel="0" collapsed="false">
      <c r="A19" s="1" t="s">
        <v>77</v>
      </c>
      <c r="B19" s="1" t="n">
        <v>8</v>
      </c>
      <c r="C19" s="15" t="n">
        <f aca="false">Hypothèses!$B$17</f>
        <v>90</v>
      </c>
      <c r="D19" s="16" t="n">
        <f aca="false">B19*C19</f>
        <v>720</v>
      </c>
    </row>
    <row r="20" customFormat="false" ht="15" hidden="false" customHeight="false" outlineLevel="0" collapsed="false">
      <c r="A20" s="1" t="s">
        <v>78</v>
      </c>
      <c r="B20" s="1" t="n">
        <v>16</v>
      </c>
      <c r="C20" s="15" t="n">
        <f aca="false">Hypothèses!$B$23</f>
        <v>95</v>
      </c>
      <c r="D20" s="16" t="n">
        <f aca="false">B20*C20</f>
        <v>1520</v>
      </c>
    </row>
    <row r="21" customFormat="false" ht="15" hidden="false" customHeight="false" outlineLevel="0" collapsed="false">
      <c r="A21" s="1" t="s">
        <v>79</v>
      </c>
      <c r="B21" s="1" t="n">
        <v>24</v>
      </c>
      <c r="C21" s="15" t="n">
        <f aca="false">Hypothèses!$B$24</f>
        <v>40</v>
      </c>
      <c r="D21" s="16" t="n">
        <f aca="false">B21*C21</f>
        <v>960</v>
      </c>
    </row>
    <row r="22" customFormat="false" ht="15" hidden="false" customHeight="false" outlineLevel="0" collapsed="false">
      <c r="A22" s="1" t="s">
        <v>56</v>
      </c>
      <c r="B22" s="1" t="n">
        <v>2</v>
      </c>
      <c r="C22" s="15" t="n">
        <f aca="false">Hypothèses!$B$30</f>
        <v>1500</v>
      </c>
      <c r="D22" s="16" t="n">
        <f aca="false">B22*C22</f>
        <v>3000</v>
      </c>
    </row>
    <row r="23" customFormat="false" ht="15" hidden="false" customHeight="false" outlineLevel="0" collapsed="false">
      <c r="A23" s="1" t="s">
        <v>50</v>
      </c>
      <c r="B23" s="1" t="n">
        <v>2</v>
      </c>
      <c r="C23" s="15" t="n">
        <f aca="false">Hypothèses!$B$25</f>
        <v>200</v>
      </c>
      <c r="D23" s="16" t="n">
        <f aca="false">B23*C23</f>
        <v>400</v>
      </c>
    </row>
    <row r="24" customFormat="false" ht="15" hidden="false" customHeight="false" outlineLevel="0" collapsed="false">
      <c r="A24" s="1" t="s">
        <v>80</v>
      </c>
      <c r="B24" s="1" t="n">
        <v>1</v>
      </c>
      <c r="C24" s="15" t="n">
        <f aca="false">Hypothèses!$B$32</f>
        <v>80</v>
      </c>
      <c r="D24" s="16" t="n">
        <f aca="false">B24*C24</f>
        <v>80</v>
      </c>
    </row>
    <row r="25" customFormat="false" ht="15" hidden="false" customHeight="false" outlineLevel="0" collapsed="false">
      <c r="A25" s="14" t="s">
        <v>81</v>
      </c>
    </row>
    <row r="26" customFormat="false" ht="15" hidden="false" customHeight="false" outlineLevel="0" collapsed="false">
      <c r="A26" s="1" t="s">
        <v>82</v>
      </c>
      <c r="B26" s="1" t="n">
        <v>3</v>
      </c>
      <c r="C26" s="15" t="n">
        <f aca="false">Hypothèses!$B$8</f>
        <v>500</v>
      </c>
      <c r="D26" s="16" t="n">
        <f aca="false">B26*C26</f>
        <v>1500</v>
      </c>
    </row>
    <row r="27" customFormat="false" ht="15" hidden="false" customHeight="false" outlineLevel="0" collapsed="false">
      <c r="A27" s="1" t="s">
        <v>83</v>
      </c>
      <c r="B27" s="1" t="n">
        <v>0.5</v>
      </c>
      <c r="C27" s="15" t="n">
        <f aca="false">Hypothèses!$B$9</f>
        <v>480</v>
      </c>
      <c r="D27" s="16" t="n">
        <f aca="false">B27*C27</f>
        <v>240</v>
      </c>
    </row>
    <row r="28" customFormat="false" ht="15" hidden="false" customHeight="false" outlineLevel="0" collapsed="false">
      <c r="A28" s="1" t="s">
        <v>84</v>
      </c>
      <c r="B28" s="1" t="n">
        <v>0.5</v>
      </c>
      <c r="C28" s="15" t="n">
        <f aca="false">Hypothèses!$B$10</f>
        <v>480</v>
      </c>
      <c r="D28" s="16" t="n">
        <f aca="false">B28*C28</f>
        <v>240</v>
      </c>
    </row>
    <row r="29" customFormat="false" ht="15" hidden="false" customHeight="false" outlineLevel="0" collapsed="false">
      <c r="A29" s="1" t="s">
        <v>85</v>
      </c>
      <c r="B29" s="1" t="n">
        <v>1</v>
      </c>
      <c r="C29" s="15" t="n">
        <f aca="false">Hypothèses!$B$11</f>
        <v>600</v>
      </c>
      <c r="D29" s="16" t="n">
        <f aca="false">B29*C29</f>
        <v>600</v>
      </c>
    </row>
    <row r="30" customFormat="false" ht="15" hidden="false" customHeight="false" outlineLevel="0" collapsed="false">
      <c r="A30" s="1" t="s">
        <v>86</v>
      </c>
      <c r="B30" s="1" t="n">
        <v>1</v>
      </c>
      <c r="C30" s="15" t="n">
        <f aca="false">Hypothèses!$B$8</f>
        <v>500</v>
      </c>
      <c r="D30" s="16" t="n">
        <f aca="false">B30*C30</f>
        <v>500</v>
      </c>
    </row>
    <row r="31" customFormat="false" ht="15" hidden="false" customHeight="false" outlineLevel="0" collapsed="false">
      <c r="A31" s="1" t="s">
        <v>87</v>
      </c>
      <c r="D31" s="16" t="n">
        <f aca="false">D3+D4+D5+D6+D8+D9+D10+D11+D12+D13+D14+D15+D16+D17+D18+D19+D20+D21+D22+D23+D24+D26+D27+D28+D29+D30</f>
        <v>21814.944</v>
      </c>
    </row>
    <row r="32" customFormat="false" ht="15" hidden="false" customHeight="false" outlineLevel="0" collapsed="false">
      <c r="A32" s="1" t="s">
        <v>88</v>
      </c>
      <c r="C32" s="17" t="n">
        <f aca="false">Hypothèses!$B$18</f>
        <v>0.15</v>
      </c>
      <c r="D32" s="16" t="n">
        <f aca="false">D31*Hypothèses!$B$18</f>
        <v>3272.2416</v>
      </c>
    </row>
    <row r="33" customFormat="false" ht="15" hidden="false" customHeight="false" outlineLevel="0" collapsed="false">
      <c r="A33" s="1" t="s">
        <v>89</v>
      </c>
      <c r="C33" s="17" t="n">
        <f aca="false">Hypothèses!$B$19</f>
        <v>0.03</v>
      </c>
      <c r="D33" s="16" t="n">
        <f aca="false">D31*Hypothèses!$B$19</f>
        <v>654.44832</v>
      </c>
    </row>
    <row r="34" customFormat="false" ht="15" hidden="false" customHeight="false" outlineLevel="0" collapsed="false">
      <c r="A34" s="1" t="s">
        <v>90</v>
      </c>
      <c r="C34" s="17" t="n">
        <f aca="false">Hypothèses!$B$20</f>
        <v>0.05</v>
      </c>
      <c r="D34" s="16" t="n">
        <f aca="false">D31*Hypothèses!$B$20</f>
        <v>1090.7472</v>
      </c>
    </row>
    <row r="35" customFormat="false" ht="15" hidden="false" customHeight="false" outlineLevel="0" collapsed="false">
      <c r="A35" s="1" t="s">
        <v>91</v>
      </c>
      <c r="D35" s="16" t="n">
        <f aca="false">D31+D32+D33+D34</f>
        <v>26832.38112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2</v>
      </c>
      <c r="B1" s="13" t="s">
        <v>62</v>
      </c>
      <c r="C1" s="13" t="s">
        <v>63</v>
      </c>
      <c r="D1" s="13" t="s">
        <v>64</v>
      </c>
    </row>
    <row r="2" customFormat="false" ht="15" hidden="false" customHeight="false" outlineLevel="0" collapsed="false">
      <c r="A2" s="14" t="s">
        <v>65</v>
      </c>
    </row>
    <row r="3" customFormat="false" ht="15" hidden="false" customHeight="false" outlineLevel="0" collapsed="false">
      <c r="A3" s="1" t="s">
        <v>66</v>
      </c>
      <c r="B3" s="1" t="n">
        <v>1.5</v>
      </c>
      <c r="C3" s="15" t="n">
        <f aca="false">Hypothèses!$B$13</f>
        <v>200</v>
      </c>
      <c r="D3" s="16" t="n">
        <f aca="false">B3*C3</f>
        <v>300</v>
      </c>
    </row>
    <row r="4" customFormat="false" ht="15" hidden="false" customHeight="false" outlineLevel="0" collapsed="false">
      <c r="A4" s="1" t="s">
        <v>67</v>
      </c>
      <c r="B4" s="1" t="n">
        <v>1</v>
      </c>
      <c r="C4" s="15" t="n">
        <f aca="false">Hypothèses!$B$12</f>
        <v>400</v>
      </c>
      <c r="D4" s="16" t="n">
        <f aca="false">B4*C4</f>
        <v>400</v>
      </c>
    </row>
    <row r="5" customFormat="false" ht="15" hidden="false" customHeight="false" outlineLevel="0" collapsed="false">
      <c r="A5" s="1" t="s">
        <v>68</v>
      </c>
      <c r="B5" s="1" t="n">
        <v>0.5</v>
      </c>
      <c r="C5" s="15" t="n">
        <f aca="false">Hypothèses!$B$7</f>
        <v>300</v>
      </c>
      <c r="D5" s="16" t="n">
        <f aca="false">B5*C5</f>
        <v>150</v>
      </c>
    </row>
    <row r="6" customFormat="false" ht="15" hidden="false" customHeight="false" outlineLevel="0" collapsed="false">
      <c r="A6" s="1" t="s">
        <v>69</v>
      </c>
      <c r="B6" s="1" t="n">
        <v>1</v>
      </c>
      <c r="C6" s="15" t="n">
        <f aca="false">Hypothèses!$B$13</f>
        <v>200</v>
      </c>
      <c r="D6" s="16" t="n">
        <f aca="false">B6*C6</f>
        <v>200</v>
      </c>
    </row>
    <row r="7" customFormat="false" ht="15" hidden="false" customHeight="false" outlineLevel="0" collapsed="false">
      <c r="A7" s="14" t="s">
        <v>92</v>
      </c>
    </row>
    <row r="8" customFormat="false" ht="15" hidden="false" customHeight="false" outlineLevel="0" collapsed="false">
      <c r="A8" s="1" t="s">
        <v>71</v>
      </c>
      <c r="B8" s="1" t="n">
        <v>1.5</v>
      </c>
      <c r="C8" s="15" t="n">
        <f aca="false">Hypothèses!$B$4</f>
        <v>1200</v>
      </c>
      <c r="D8" s="16" t="n">
        <f aca="false">B8*C8</f>
        <v>1800</v>
      </c>
    </row>
    <row r="9" customFormat="false" ht="15" hidden="false" customHeight="false" outlineLevel="0" collapsed="false">
      <c r="A9" s="1" t="s">
        <v>72</v>
      </c>
      <c r="B9" s="1" t="n">
        <v>1.5</v>
      </c>
      <c r="C9" s="15" t="n">
        <f aca="false">Hypothèses!$B$5</f>
        <v>550</v>
      </c>
      <c r="D9" s="16" t="n">
        <f aca="false">B9*C9</f>
        <v>825</v>
      </c>
    </row>
    <row r="10" customFormat="false" ht="15" hidden="false" customHeight="false" outlineLevel="0" collapsed="false">
      <c r="A10" s="1" t="s">
        <v>11</v>
      </c>
      <c r="B10" s="1" t="n">
        <v>1.5</v>
      </c>
      <c r="C10" s="15" t="n">
        <f aca="false">Hypothèses!$B$6</f>
        <v>500</v>
      </c>
      <c r="D10" s="16" t="n">
        <f aca="false">B10*C10</f>
        <v>750</v>
      </c>
    </row>
    <row r="11" customFormat="false" ht="15" hidden="false" customHeight="false" outlineLevel="0" collapsed="false">
      <c r="A11" s="1" t="s">
        <v>73</v>
      </c>
      <c r="B11" s="1" t="n">
        <v>1.5</v>
      </c>
      <c r="C11" s="15" t="n">
        <f aca="false">Hypothèses!$B$7</f>
        <v>300</v>
      </c>
      <c r="D11" s="16" t="n">
        <f aca="false">B11*C11</f>
        <v>450</v>
      </c>
    </row>
    <row r="12" customFormat="false" ht="15" hidden="false" customHeight="false" outlineLevel="0" collapsed="false">
      <c r="A12" s="1" t="s">
        <v>74</v>
      </c>
      <c r="B12" s="1" t="n">
        <v>0.5</v>
      </c>
      <c r="C12" s="15" t="n">
        <f aca="false">Hypothèses!$B$13</f>
        <v>200</v>
      </c>
      <c r="D12" s="16" t="n">
        <f aca="false">B12*C12</f>
        <v>100</v>
      </c>
    </row>
    <row r="13" customFormat="false" ht="15" hidden="false" customHeight="false" outlineLevel="0" collapsed="false">
      <c r="A13" s="1" t="s">
        <v>93</v>
      </c>
      <c r="B13" s="1" t="n">
        <v>3</v>
      </c>
      <c r="C13" s="15" t="n">
        <f aca="false">Hypothèses!$B$14</f>
        <v>534</v>
      </c>
      <c r="D13" s="16" t="n">
        <f aca="false">B13*C13</f>
        <v>1602</v>
      </c>
    </row>
    <row r="14" customFormat="false" ht="15" hidden="false" customHeight="false" outlineLevel="0" collapsed="false">
      <c r="A14" s="1" t="s">
        <v>76</v>
      </c>
      <c r="C14" s="17" t="n">
        <f aca="false">Hypothèses!$B$15</f>
        <v>0.154</v>
      </c>
      <c r="D14" s="16" t="n">
        <f aca="false">D13*C14</f>
        <v>246.708</v>
      </c>
    </row>
    <row r="15" customFormat="false" ht="15" hidden="false" customHeight="false" outlineLevel="0" collapsed="false">
      <c r="A15" s="1" t="s">
        <v>94</v>
      </c>
      <c r="B15" s="1" t="n">
        <v>4</v>
      </c>
      <c r="C15" s="15" t="n">
        <f aca="false">Hypothèses!$B$17</f>
        <v>90</v>
      </c>
      <c r="D15" s="16" t="n">
        <f aca="false">B15*C15</f>
        <v>360</v>
      </c>
    </row>
    <row r="16" customFormat="false" ht="15" hidden="false" customHeight="false" outlineLevel="0" collapsed="false">
      <c r="A16" s="1" t="s">
        <v>95</v>
      </c>
      <c r="B16" s="1" t="n">
        <v>8</v>
      </c>
      <c r="C16" s="15" t="n">
        <f aca="false">Hypothèses!$B$23</f>
        <v>95</v>
      </c>
      <c r="D16" s="16" t="n">
        <f aca="false">B16*C16</f>
        <v>760</v>
      </c>
    </row>
    <row r="17" customFormat="false" ht="15" hidden="false" customHeight="false" outlineLevel="0" collapsed="false">
      <c r="A17" s="1" t="s">
        <v>96</v>
      </c>
      <c r="B17" s="1" t="n">
        <v>12</v>
      </c>
      <c r="C17" s="15" t="n">
        <f aca="false">Hypothèses!$B$24</f>
        <v>40</v>
      </c>
      <c r="D17" s="16" t="n">
        <f aca="false">B17*C17</f>
        <v>480</v>
      </c>
    </row>
    <row r="18" customFormat="false" ht="15" hidden="false" customHeight="false" outlineLevel="0" collapsed="false">
      <c r="A18" s="1" t="s">
        <v>29</v>
      </c>
      <c r="B18" s="1" t="n">
        <v>1.5</v>
      </c>
      <c r="C18" s="15" t="n">
        <f aca="false">Hypothèses!$B$16</f>
        <v>700</v>
      </c>
      <c r="D18" s="16" t="n">
        <f aca="false">B18*C18</f>
        <v>1050</v>
      </c>
    </row>
    <row r="19" customFormat="false" ht="15" hidden="false" customHeight="false" outlineLevel="0" collapsed="false">
      <c r="A19" s="1" t="s">
        <v>50</v>
      </c>
      <c r="B19" s="1" t="n">
        <v>1.5</v>
      </c>
      <c r="C19" s="15" t="n">
        <f aca="false">Hypothèses!$B$25</f>
        <v>200</v>
      </c>
      <c r="D19" s="16" t="n">
        <f aca="false">B19*C19</f>
        <v>300</v>
      </c>
    </row>
    <row r="20" customFormat="false" ht="15" hidden="false" customHeight="false" outlineLevel="0" collapsed="false">
      <c r="A20" s="14" t="s">
        <v>81</v>
      </c>
    </row>
    <row r="21" customFormat="false" ht="15" hidden="false" customHeight="false" outlineLevel="0" collapsed="false">
      <c r="A21" s="1" t="s">
        <v>82</v>
      </c>
      <c r="B21" s="1" t="n">
        <v>3</v>
      </c>
      <c r="C21" s="15" t="n">
        <f aca="false">Hypothèses!$B$8</f>
        <v>500</v>
      </c>
      <c r="D21" s="16" t="n">
        <f aca="false">B21*C21</f>
        <v>1500</v>
      </c>
    </row>
    <row r="22" customFormat="false" ht="15" hidden="false" customHeight="false" outlineLevel="0" collapsed="false">
      <c r="A22" s="1" t="s">
        <v>83</v>
      </c>
      <c r="B22" s="1" t="n">
        <v>0.5</v>
      </c>
      <c r="C22" s="15" t="n">
        <f aca="false">Hypothèses!$B$9</f>
        <v>480</v>
      </c>
      <c r="D22" s="16" t="n">
        <f aca="false">B22*C22</f>
        <v>240</v>
      </c>
    </row>
    <row r="23" customFormat="false" ht="15" hidden="false" customHeight="false" outlineLevel="0" collapsed="false">
      <c r="A23" s="1" t="s">
        <v>84</v>
      </c>
      <c r="B23" s="1" t="n">
        <v>0.5</v>
      </c>
      <c r="C23" s="15" t="n">
        <f aca="false">Hypothèses!$B$10</f>
        <v>480</v>
      </c>
      <c r="D23" s="16" t="n">
        <f aca="false">B23*C23</f>
        <v>240</v>
      </c>
    </row>
    <row r="24" customFormat="false" ht="15" hidden="false" customHeight="false" outlineLevel="0" collapsed="false">
      <c r="A24" s="1" t="s">
        <v>85</v>
      </c>
      <c r="B24" s="1" t="n">
        <v>1</v>
      </c>
      <c r="C24" s="15" t="n">
        <f aca="false">Hypothèses!$B$11</f>
        <v>600</v>
      </c>
      <c r="D24" s="16" t="n">
        <f aca="false">B24*C24</f>
        <v>600</v>
      </c>
    </row>
    <row r="25" customFormat="false" ht="15" hidden="false" customHeight="false" outlineLevel="0" collapsed="false">
      <c r="A25" s="1" t="s">
        <v>86</v>
      </c>
      <c r="B25" s="1" t="n">
        <v>1</v>
      </c>
      <c r="C25" s="15" t="n">
        <f aca="false">Hypothèses!$B$8</f>
        <v>500</v>
      </c>
      <c r="D25" s="16" t="n">
        <f aca="false">B25*C25</f>
        <v>500</v>
      </c>
    </row>
    <row r="26" customFormat="false" ht="15" hidden="false" customHeight="false" outlineLevel="0" collapsed="false">
      <c r="A26" s="1" t="s">
        <v>87</v>
      </c>
      <c r="D26" s="16" t="n">
        <f aca="false">D3+D4+D5+D6+D8+D9+D10+D11+D12+D13+D14+D15+D16+D17+D18+D19+D21+D22+D23+D24+D25</f>
        <v>12853.708</v>
      </c>
    </row>
    <row r="27" customFormat="false" ht="15" hidden="false" customHeight="false" outlineLevel="0" collapsed="false">
      <c r="A27" s="1" t="s">
        <v>88</v>
      </c>
      <c r="C27" s="17" t="n">
        <f aca="false">Hypothèses!$B$18</f>
        <v>0.15</v>
      </c>
      <c r="D27" s="16" t="n">
        <f aca="false">D26*Hypothèses!$B$18</f>
        <v>1928.0562</v>
      </c>
    </row>
    <row r="28" customFormat="false" ht="15" hidden="false" customHeight="false" outlineLevel="0" collapsed="false">
      <c r="A28" s="1" t="s">
        <v>89</v>
      </c>
      <c r="C28" s="17" t="n">
        <f aca="false">Hypothèses!$B$19</f>
        <v>0.03</v>
      </c>
      <c r="D28" s="16" t="n">
        <f aca="false">D26*Hypothèses!$B$19</f>
        <v>385.61124</v>
      </c>
    </row>
    <row r="29" customFormat="false" ht="15" hidden="false" customHeight="false" outlineLevel="0" collapsed="false">
      <c r="A29" s="1" t="s">
        <v>90</v>
      </c>
      <c r="C29" s="17" t="n">
        <f aca="false">Hypothèses!$B$20</f>
        <v>0.05</v>
      </c>
      <c r="D29" s="16" t="n">
        <f aca="false">D26*Hypothèses!$B$20</f>
        <v>642.6854</v>
      </c>
    </row>
    <row r="30" customFormat="false" ht="15" hidden="false" customHeight="false" outlineLevel="0" collapsed="false">
      <c r="A30" s="1" t="s">
        <v>91</v>
      </c>
      <c r="D30" s="16" t="n">
        <f aca="false">D26+D27+D28+D29</f>
        <v>15810.06084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</cols>
  <sheetData>
    <row r="1" customFormat="false" ht="15" hidden="false" customHeight="true" outlineLevel="0" collapsed="false">
      <c r="A1" s="4" t="s">
        <v>2</v>
      </c>
      <c r="B1" s="4" t="s">
        <v>97</v>
      </c>
    </row>
    <row r="2" customFormat="false" ht="15" hidden="false" customHeight="true" outlineLevel="0" collapsed="false">
      <c r="A2" s="4" t="s">
        <v>98</v>
      </c>
      <c r="B2" s="18"/>
    </row>
    <row r="3" customFormat="false" ht="15" hidden="false" customHeight="true" outlineLevel="0" collapsed="false">
      <c r="A3" s="5" t="s">
        <v>99</v>
      </c>
      <c r="B3" s="19" t="n">
        <f aca="false">CYRCE_A!D35</f>
        <v>26832.38112</v>
      </c>
    </row>
    <row r="4" customFormat="false" ht="15" hidden="false" customHeight="true" outlineLevel="0" collapsed="false">
      <c r="A4" s="20" t="s">
        <v>100</v>
      </c>
      <c r="B4" s="21" t="n">
        <f aca="false">BIOT2_A!D35</f>
        <v>26832.38112</v>
      </c>
    </row>
    <row r="5" customFormat="false" ht="15" hidden="false" customHeight="true" outlineLevel="0" collapsed="false">
      <c r="A5" s="20" t="s">
        <v>101</v>
      </c>
      <c r="B5" s="21" t="n">
        <f aca="false">B3+B4</f>
        <v>53664.76224</v>
      </c>
    </row>
    <row r="6" customFormat="false" ht="15" hidden="false" customHeight="true" outlineLevel="0" collapsed="false">
      <c r="A6" s="20" t="s">
        <v>39</v>
      </c>
      <c r="B6" s="21" t="n">
        <f aca="false">B5*Hypothèses!$B$21</f>
        <v>10732.952448</v>
      </c>
    </row>
    <row r="7" customFormat="false" ht="15" hidden="false" customHeight="true" outlineLevel="0" collapsed="false">
      <c r="A7" s="20" t="s">
        <v>102</v>
      </c>
      <c r="B7" s="21" t="n">
        <f aca="false">B5+B6</f>
        <v>64397.714688</v>
      </c>
    </row>
    <row r="8" customFormat="false" ht="15" hidden="false" customHeight="true" outlineLevel="0" collapsed="false">
      <c r="A8" s="20"/>
      <c r="B8" s="21"/>
    </row>
    <row r="9" customFormat="false" ht="15" hidden="false" customHeight="false" outlineLevel="0" collapsed="false">
      <c r="A9" s="13" t="s">
        <v>103</v>
      </c>
      <c r="B9" s="22"/>
    </row>
    <row r="10" customFormat="false" ht="15" hidden="false" customHeight="false" outlineLevel="0" collapsed="false">
      <c r="A10" s="1" t="s">
        <v>99</v>
      </c>
      <c r="B10" s="16" t="n">
        <f aca="false">CYRCE_B!D30</f>
        <v>15810.06084</v>
      </c>
    </row>
    <row r="11" customFormat="false" ht="15" hidden="false" customHeight="false" outlineLevel="0" collapsed="false">
      <c r="A11" s="1" t="s">
        <v>100</v>
      </c>
      <c r="B11" s="16" t="n">
        <f aca="false">BIOT2_B!D30</f>
        <v>15810.06084</v>
      </c>
    </row>
    <row r="12" customFormat="false" ht="15" hidden="false" customHeight="false" outlineLevel="0" collapsed="false">
      <c r="A12" s="14" t="s">
        <v>104</v>
      </c>
      <c r="B12" s="23" t="n">
        <f aca="false">B10+B11</f>
        <v>31620.12168</v>
      </c>
    </row>
    <row r="13" customFormat="false" ht="15" hidden="false" customHeight="false" outlineLevel="0" collapsed="false">
      <c r="A13" s="1" t="s">
        <v>39</v>
      </c>
      <c r="B13" s="16" t="n">
        <f aca="false">B12*Hypothèses!$B$21</f>
        <v>6324.024336</v>
      </c>
    </row>
    <row r="14" customFormat="false" ht="15" hidden="false" customHeight="false" outlineLevel="0" collapsed="false">
      <c r="A14" s="14" t="s">
        <v>105</v>
      </c>
      <c r="B14" s="23" t="n">
        <f aca="false">B12+B13</f>
        <v>37944.146016</v>
      </c>
    </row>
    <row r="16" customFormat="false" ht="15" hidden="false" customHeight="false" outlineLevel="0" collapsed="false">
      <c r="A16" s="13" t="s">
        <v>106</v>
      </c>
      <c r="B16" s="22"/>
    </row>
    <row r="17" customFormat="false" ht="15" hidden="false" customHeight="false" outlineLevel="0" collapsed="false">
      <c r="A17" s="1" t="s">
        <v>41</v>
      </c>
      <c r="B17" s="16" t="n">
        <f aca="false">Hypothèses!$B$22</f>
        <v>40000</v>
      </c>
    </row>
    <row r="18" customFormat="false" ht="15" hidden="false" customHeight="false" outlineLevel="0" collapsed="false">
      <c r="A18" s="14" t="s">
        <v>107</v>
      </c>
      <c r="B18" s="23" t="n">
        <f aca="false">B17-B14</f>
        <v>2055.853984</v>
      </c>
    </row>
    <row r="20" customFormat="false" ht="15" hidden="false" customHeight="false" outlineLevel="0" collapsed="false">
      <c r="A20" s="13" t="s">
        <v>108</v>
      </c>
      <c r="B20" s="22"/>
    </row>
    <row r="21" customFormat="false" ht="15" hidden="false" customHeight="false" outlineLevel="0" collapsed="false">
      <c r="A21" s="14" t="s">
        <v>109</v>
      </c>
      <c r="B21" s="23" t="n">
        <f aca="false">B5-B12</f>
        <v>22044.64056</v>
      </c>
    </row>
    <row r="22" customFormat="false" ht="15" hidden="false" customHeight="false" outlineLevel="0" collapsed="false">
      <c r="A22" s="14" t="s">
        <v>110</v>
      </c>
      <c r="B22" s="23" t="n">
        <f aca="false">B7-B14</f>
        <v>26453.568672</v>
      </c>
    </row>
    <row r="23" customFormat="false" ht="15" hidden="false" customHeight="false" outlineLevel="0" collapsed="false">
      <c r="A23" s="1" t="s">
        <v>111</v>
      </c>
      <c r="B23" s="24" t="n">
        <f aca="false">B21/B5</f>
        <v>0.410784277053382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2026-09-08T11:17:20Z</dcterms:created>
  <dc:creator>openpyxl</dc:creator>
  <dc:description/>
  <dc:language>en-US</dc:language>
  <cp:lastModifiedBy/>
  <dcterms:modified xsi:type="dcterms:W3CDTF">2026-09-17T09:01:28Z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