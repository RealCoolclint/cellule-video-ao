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èses" sheetId="1" state="visible" r:id="rId3"/>
    <sheet name="CYRCE" sheetId="2" state="visible" r:id="rId4"/>
    <sheet name="BIOT2" sheetId="3" state="visible" r:id="rId5"/>
    <sheet name="Synthè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Scénario resserré : équipe tournage à 4 postes (au lieu de 7), tournage 1,5j (au lieu de 2j), kit intermédiaire (au lieu de lourd/multicam). Coût de revient production complet, hors marge commerciale OPS.</t>
        </r>
      </text>
    </comment>
  </commentList>
</comments>
</file>

<file path=xl/sharedStrings.xml><?xml version="1.0" encoding="utf-8"?>
<sst xmlns="http://schemas.openxmlformats.org/spreadsheetml/2006/main" count="132" uniqueCount="76">
  <si>
    <t xml:space="preserve">LÉGENDE : cellules bleues = valeurs modifiables (inputs) — cellules noires = formules.</t>
  </si>
  <si>
    <t xml:space="preserve">SCÉNARIO RESSERRÉ : équipe tournage réduite à 4 postes (Réal/Cadreur/Ingé son/Régie), tournage 1,5j, kit intermédiaire — pour tenir l'enveloppe client. Voir Fiche Approche pour le scénario complet écarté (7 postes, 2j, kit lourd).</t>
  </si>
  <si>
    <t xml:space="preserve">Poste</t>
  </si>
  <si>
    <t xml:space="preserve">Valeur</t>
  </si>
  <si>
    <t xml:space="preserve">Unité</t>
  </si>
  <si>
    <t xml:space="preserve">Source</t>
  </si>
  <si>
    <t xml:space="preserve">Réalisateur (pub/fiction)</t>
  </si>
  <si>
    <t xml:space="preserve">€/j</t>
  </si>
  <si>
    <t xml:space="preserve">BPU IDFM Grille Coûts Production — SPIAC / Marché pub</t>
  </si>
  <si>
    <t xml:space="preserve">Cadreur / JRI (chef opérateur, assure aussi la lumière simple)</t>
  </si>
  <si>
    <t xml:space="preserve">BPU IDFM Grille Coûts Production — COMETES / Malt</t>
  </si>
  <si>
    <t xml:space="preserve">Chef OPS / Ingénieur du son</t>
  </si>
  <si>
    <t xml:space="preserve">BPU IDFM Grille Coûts Production — COMETES / CCPA</t>
  </si>
  <si>
    <t xml:space="preserve">Assistant·e de production (régie)</t>
  </si>
  <si>
    <t xml:space="preserve">BPU IDFM Grille Coûts Production — COMETES</t>
  </si>
  <si>
    <t xml:space="preserve">Monteur·se</t>
  </si>
  <si>
    <t xml:space="preserve">Étalonneur·se</t>
  </si>
  <si>
    <t xml:space="preserve">Mixeur·se</t>
  </si>
  <si>
    <t xml:space="preserve">Motion designer</t>
  </si>
  <si>
    <t xml:space="preserve">BPU IDFM Grille Coûts Production — Marché pub / Malt</t>
  </si>
  <si>
    <t xml:space="preserve">Storyboarder (freelance)</t>
  </si>
  <si>
    <t xml:space="preserve">BPU IDFM Grille Coûts Production — Marché pub</t>
  </si>
  <si>
    <t xml:space="preserve">Taux interne (supervision / coordination)</t>
  </si>
  <si>
    <t xml:space="preserve">Référentiel de Coûts Internes Pôle Audiovisuel — validé Direction</t>
  </si>
  <si>
    <t xml:space="preserve">Comédien image (hors droits)</t>
  </si>
  <si>
    <t xml:space="preserve">BPU IDFM Grille Coûts Production — Marché / CCN</t>
  </si>
  <si>
    <t xml:space="preserve">Coefficient intermittent (charges Congés Spectacles)</t>
  </si>
  <si>
    <t xml:space="preserve">%</t>
  </si>
  <si>
    <t xml:space="preserve">BPU IDFM / Audiens — cotisation employeur 15,4% sur salaire brut</t>
  </si>
  <si>
    <t xml:space="preserve">Location kit tournage intermédiaire</t>
  </si>
  <si>
    <t xml:space="preserve">BPU IDFM Grille Coûts Production — adapté à une équipe resserrée, décors lumineux naturels (bureaux/coworking)</t>
  </si>
  <si>
    <t xml:space="preserve">Déplacement Normandie (équipe resserrée, par tournage)</t>
  </si>
  <si>
    <t xml:space="preserve">€</t>
  </si>
  <si>
    <t xml:space="preserve">Estimation révisée — transport + logistique équipe de 4 pers., 1,5 jour</t>
  </si>
  <si>
    <t xml:space="preserve">Pilotage (% charge de production)</t>
  </si>
  <si>
    <t xml:space="preserve">Méthodologie interne — session CNES/COMETES</t>
  </si>
  <si>
    <t xml:space="preserve">Assurance production (RC Pro, matériel, annulation)</t>
  </si>
  <si>
    <t xml:space="preserve">BPU IDFM Grille Coûts Production — obligatoire pour tout projet avec tournage</t>
  </si>
  <si>
    <t xml:space="preserve">Provision imprévus (météo, retakes, prolongation)</t>
  </si>
  <si>
    <t xml:space="preserve">TVA</t>
  </si>
  <si>
    <t xml:space="preserve">Taux standard</t>
  </si>
  <si>
    <t xml:space="preserve">Enveloppe budgétaire client (TTC)</t>
  </si>
  <si>
    <t xml:space="preserve">Cahier des charges — Agence Régionale de l'Orientation et des Métiers de Normandie</t>
  </si>
  <si>
    <t xml:space="preserve">Jours / Quantité</t>
  </si>
  <si>
    <t xml:space="preserve">Taux unitaire</t>
  </si>
  <si>
    <t xml:space="preserve">Coût</t>
  </si>
  <si>
    <t xml:space="preserve">PRÉ-PRODUCTION</t>
  </si>
  <si>
    <t xml:space="preserve">Écriture scénario (interne, direction créative)</t>
  </si>
  <si>
    <t xml:space="preserve">Storyboard (freelance)</t>
  </si>
  <si>
    <t xml:space="preserve">Repérages Normandie (régie)</t>
  </si>
  <si>
    <t xml:space="preserve">Casting — recherche &amp; coordination (interne)</t>
  </si>
  <si>
    <t xml:space="preserve">TOURNAGE (1,5 jour, équipe resserrée)</t>
  </si>
  <si>
    <t xml:space="preserve">Réalisateur</t>
  </si>
  <si>
    <t xml:space="preserve">Cadreur / JRI</t>
  </si>
  <si>
    <t xml:space="preserve">Régie / assistant production</t>
  </si>
  <si>
    <t xml:space="preserve">Supervision interne (présence tournage)</t>
  </si>
  <si>
    <t xml:space="preserve">Comédiens — jours-comédien (2 comédiens × 1,5j)</t>
  </si>
  <si>
    <t xml:space="preserve">Comédiens — charges Congés Spectacles</t>
  </si>
  <si>
    <t xml:space="preserve">Déplacement Normandie (équipe resserrée)</t>
  </si>
  <si>
    <t xml:space="preserve">POST-PRODUCTION</t>
  </si>
  <si>
    <t xml:space="preserve">Montage</t>
  </si>
  <si>
    <t xml:space="preserve">Étalonnage</t>
  </si>
  <si>
    <t xml:space="preserve">Mixage son</t>
  </si>
  <si>
    <t xml:space="preserve">Motion design / habillage</t>
  </si>
  <si>
    <t xml:space="preserve">Sous-titrage + déclinaisons RS (30s + vertical)</t>
  </si>
  <si>
    <t xml:space="preserve">SOUS-TOTAL PRODUCTION</t>
  </si>
  <si>
    <t xml:space="preserve">Pilotage</t>
  </si>
  <si>
    <t xml:space="preserve">Assurance production</t>
  </si>
  <si>
    <t xml:space="preserve">Provision imprévus</t>
  </si>
  <si>
    <t xml:space="preserve">TOTAL coût de revient (HT)</t>
  </si>
  <si>
    <t xml:space="preserve">Montant</t>
  </si>
  <si>
    <t xml:space="preserve">Total coût de revient CYRCE (HT)</t>
  </si>
  <si>
    <t xml:space="preserve">Total coût de revient BIOT2 (HT)</t>
  </si>
  <si>
    <t xml:space="preserve">TOTAL coût de revient global (HT)</t>
  </si>
  <si>
    <t xml:space="preserve">TOTAL coût de revient (TTC)</t>
  </si>
  <si>
    <t xml:space="preserve">Écart (marge disponible, avant marge commerciale OPS)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</si>
</sst>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name val="Arial"/>
      <family val="0"/>
      <charset val="1"/>
    </font>
    <font>
      <b val="true"/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8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  <c r="B4" s="5" t="n">
        <v>1200</v>
      </c>
      <c r="C4" s="4" t="s">
        <v>7</v>
      </c>
      <c r="D4" s="1" t="s">
        <v>8</v>
      </c>
    </row>
    <row r="5" customFormat="false" ht="15" hidden="false" customHeight="false" outlineLevel="0" collapsed="false">
      <c r="A5" s="4" t="s">
        <v>9</v>
      </c>
      <c r="B5" s="5" t="n">
        <v>550</v>
      </c>
      <c r="C5" s="4" t="s">
        <v>7</v>
      </c>
      <c r="D5" s="1" t="s">
        <v>10</v>
      </c>
    </row>
    <row r="6" customFormat="false" ht="15" hidden="false" customHeight="false" outlineLevel="0" collapsed="false">
      <c r="A6" s="4" t="s">
        <v>11</v>
      </c>
      <c r="B6" s="5" t="n">
        <v>500</v>
      </c>
      <c r="C6" s="4" t="s">
        <v>7</v>
      </c>
      <c r="D6" s="1" t="s">
        <v>12</v>
      </c>
    </row>
    <row r="7" customFormat="false" ht="15" hidden="false" customHeight="false" outlineLevel="0" collapsed="false">
      <c r="A7" s="4" t="s">
        <v>13</v>
      </c>
      <c r="B7" s="5" t="n">
        <v>300</v>
      </c>
      <c r="C7" s="4" t="s">
        <v>7</v>
      </c>
      <c r="D7" s="1" t="s">
        <v>14</v>
      </c>
    </row>
    <row r="8" customFormat="false" ht="15" hidden="false" customHeight="false" outlineLevel="0" collapsed="false">
      <c r="A8" s="4" t="s">
        <v>15</v>
      </c>
      <c r="B8" s="5" t="n">
        <v>500</v>
      </c>
      <c r="C8" s="4" t="s">
        <v>7</v>
      </c>
      <c r="D8" s="1" t="s">
        <v>10</v>
      </c>
    </row>
    <row r="9" customFormat="false" ht="15" hidden="false" customHeight="false" outlineLevel="0" collapsed="false">
      <c r="A9" s="4" t="s">
        <v>16</v>
      </c>
      <c r="B9" s="5" t="n">
        <v>480</v>
      </c>
      <c r="C9" s="4" t="s">
        <v>7</v>
      </c>
      <c r="D9" s="1" t="s">
        <v>10</v>
      </c>
    </row>
    <row r="10" customFormat="false" ht="15" hidden="false" customHeight="false" outlineLevel="0" collapsed="false">
      <c r="A10" s="4" t="s">
        <v>17</v>
      </c>
      <c r="B10" s="5" t="n">
        <v>480</v>
      </c>
      <c r="C10" s="4" t="s">
        <v>7</v>
      </c>
      <c r="D10" s="1" t="s">
        <v>12</v>
      </c>
    </row>
    <row r="11" customFormat="false" ht="15" hidden="false" customHeight="false" outlineLevel="0" collapsed="false">
      <c r="A11" s="4" t="s">
        <v>18</v>
      </c>
      <c r="B11" s="5" t="n">
        <v>600</v>
      </c>
      <c r="C11" s="4" t="s">
        <v>7</v>
      </c>
      <c r="D11" s="1" t="s">
        <v>19</v>
      </c>
    </row>
    <row r="12" customFormat="false" ht="15" hidden="false" customHeight="false" outlineLevel="0" collapsed="false">
      <c r="A12" s="4" t="s">
        <v>20</v>
      </c>
      <c r="B12" s="5" t="n">
        <v>400</v>
      </c>
      <c r="C12" s="4" t="s">
        <v>7</v>
      </c>
      <c r="D12" s="1" t="s">
        <v>21</v>
      </c>
    </row>
    <row r="13" customFormat="false" ht="15" hidden="false" customHeight="false" outlineLevel="0" collapsed="false">
      <c r="A13" s="4" t="s">
        <v>22</v>
      </c>
      <c r="B13" s="5" t="n">
        <v>200</v>
      </c>
      <c r="C13" s="4" t="s">
        <v>7</v>
      </c>
      <c r="D13" s="1" t="s">
        <v>23</v>
      </c>
    </row>
    <row r="14" customFormat="false" ht="15" hidden="false" customHeight="false" outlineLevel="0" collapsed="false">
      <c r="A14" s="4" t="s">
        <v>24</v>
      </c>
      <c r="B14" s="5" t="n">
        <v>600</v>
      </c>
      <c r="C14" s="4" t="s">
        <v>7</v>
      </c>
      <c r="D14" s="1" t="s">
        <v>25</v>
      </c>
    </row>
    <row r="15" customFormat="false" ht="15" hidden="false" customHeight="false" outlineLevel="0" collapsed="false">
      <c r="A15" s="4" t="s">
        <v>26</v>
      </c>
      <c r="B15" s="6" t="n">
        <v>0.154</v>
      </c>
      <c r="C15" s="4" t="s">
        <v>27</v>
      </c>
      <c r="D15" s="1" t="s">
        <v>28</v>
      </c>
    </row>
    <row r="16" customFormat="false" ht="15" hidden="false" customHeight="false" outlineLevel="0" collapsed="false">
      <c r="A16" s="4" t="s">
        <v>29</v>
      </c>
      <c r="B16" s="5" t="n">
        <v>700</v>
      </c>
      <c r="C16" s="4" t="s">
        <v>7</v>
      </c>
      <c r="D16" s="1" t="s">
        <v>30</v>
      </c>
    </row>
    <row r="17" customFormat="false" ht="15" hidden="false" customHeight="false" outlineLevel="0" collapsed="false">
      <c r="A17" s="4" t="s">
        <v>31</v>
      </c>
      <c r="B17" s="5" t="n">
        <v>1000</v>
      </c>
      <c r="C17" s="4" t="s">
        <v>32</v>
      </c>
      <c r="D17" s="1" t="s">
        <v>33</v>
      </c>
    </row>
    <row r="18" customFormat="false" ht="15" hidden="false" customHeight="false" outlineLevel="0" collapsed="false">
      <c r="A18" s="4" t="s">
        <v>34</v>
      </c>
      <c r="B18" s="6" t="n">
        <v>0.15</v>
      </c>
      <c r="C18" s="4" t="s">
        <v>27</v>
      </c>
      <c r="D18" s="1" t="s">
        <v>35</v>
      </c>
    </row>
    <row r="19" customFormat="false" ht="15" hidden="false" customHeight="false" outlineLevel="0" collapsed="false">
      <c r="A19" s="4" t="s">
        <v>36</v>
      </c>
      <c r="B19" s="6" t="n">
        <v>0.03</v>
      </c>
      <c r="C19" s="4" t="s">
        <v>27</v>
      </c>
      <c r="D19" s="1" t="s">
        <v>37</v>
      </c>
    </row>
    <row r="20" customFormat="false" ht="15" hidden="false" customHeight="false" outlineLevel="0" collapsed="false">
      <c r="A20" s="4" t="s">
        <v>38</v>
      </c>
      <c r="B20" s="6" t="n">
        <v>0.05</v>
      </c>
      <c r="C20" s="4" t="s">
        <v>27</v>
      </c>
      <c r="D20" s="1" t="s">
        <v>37</v>
      </c>
    </row>
    <row r="21" customFormat="false" ht="15" hidden="false" customHeight="false" outlineLevel="0" collapsed="false">
      <c r="A21" s="4" t="s">
        <v>39</v>
      </c>
      <c r="B21" s="6" t="n">
        <v>0.2</v>
      </c>
      <c r="C21" s="4" t="s">
        <v>27</v>
      </c>
      <c r="D21" s="1" t="s">
        <v>40</v>
      </c>
    </row>
    <row r="22" customFormat="false" ht="15" hidden="false" customHeight="false" outlineLevel="0" collapsed="false">
      <c r="A22" s="4" t="s">
        <v>41</v>
      </c>
      <c r="B22" s="5" t="n">
        <v>40000</v>
      </c>
      <c r="C22" s="4" t="s">
        <v>32</v>
      </c>
      <c r="D22" s="1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4" min="3" style="0" width="14"/>
  </cols>
  <sheetData>
    <row r="1" customFormat="false" ht="15" hidden="false" customHeight="false" outlineLevel="0" collapsed="false">
      <c r="A1" s="3" t="s">
        <v>2</v>
      </c>
      <c r="B1" s="3" t="s">
        <v>43</v>
      </c>
      <c r="C1" s="3" t="s">
        <v>44</v>
      </c>
      <c r="D1" s="3" t="s">
        <v>45</v>
      </c>
    </row>
    <row r="2" customFormat="false" ht="15" hidden="false" customHeight="false" outlineLevel="0" collapsed="false">
      <c r="A2" s="7" t="s">
        <v>46</v>
      </c>
    </row>
    <row r="3" customFormat="false" ht="15" hidden="false" customHeight="false" outlineLevel="0" collapsed="false">
      <c r="A3" s="4" t="s">
        <v>47</v>
      </c>
      <c r="B3" s="8" t="n">
        <v>1.5</v>
      </c>
      <c r="C3" s="9" t="n">
        <f aca="false">Hypothèses!$B$13</f>
        <v>200</v>
      </c>
      <c r="D3" s="9" t="n">
        <f aca="false">B3*C3</f>
        <v>300</v>
      </c>
    </row>
    <row r="4" customFormat="false" ht="15" hidden="false" customHeight="false" outlineLevel="0" collapsed="false">
      <c r="A4" s="4" t="s">
        <v>48</v>
      </c>
      <c r="B4" s="8" t="n">
        <v>1</v>
      </c>
      <c r="C4" s="9" t="n">
        <f aca="false">Hypothèses!$B$12</f>
        <v>400</v>
      </c>
      <c r="D4" s="9" t="n">
        <f aca="false">B4*C4</f>
        <v>400</v>
      </c>
    </row>
    <row r="5" customFormat="false" ht="15" hidden="false" customHeight="false" outlineLevel="0" collapsed="false">
      <c r="A5" s="4" t="s">
        <v>49</v>
      </c>
      <c r="B5" s="8" t="n">
        <v>0.5</v>
      </c>
      <c r="C5" s="9" t="n">
        <f aca="false">Hypothèses!$B$7</f>
        <v>300</v>
      </c>
      <c r="D5" s="9" t="n">
        <f aca="false">B5*C5</f>
        <v>150</v>
      </c>
    </row>
    <row r="6" customFormat="false" ht="15" hidden="false" customHeight="false" outlineLevel="0" collapsed="false">
      <c r="A6" s="4" t="s">
        <v>50</v>
      </c>
      <c r="B6" s="8" t="n">
        <v>1</v>
      </c>
      <c r="C6" s="9" t="n">
        <f aca="false">Hypothèses!$B$13</f>
        <v>200</v>
      </c>
      <c r="D6" s="9" t="n">
        <f aca="false">B6*C6</f>
        <v>200</v>
      </c>
    </row>
    <row r="7" customFormat="false" ht="15" hidden="false" customHeight="false" outlineLevel="0" collapsed="false">
      <c r="A7" s="7" t="s">
        <v>51</v>
      </c>
    </row>
    <row r="8" customFormat="false" ht="15" hidden="false" customHeight="false" outlineLevel="0" collapsed="false">
      <c r="A8" s="4" t="s">
        <v>52</v>
      </c>
      <c r="B8" s="8" t="n">
        <v>1.5</v>
      </c>
      <c r="C8" s="9" t="n">
        <f aca="false">Hypothèses!$B$4</f>
        <v>1200</v>
      </c>
      <c r="D8" s="9" t="n">
        <f aca="false">B8*C8</f>
        <v>1800</v>
      </c>
    </row>
    <row r="9" customFormat="false" ht="15" hidden="false" customHeight="false" outlineLevel="0" collapsed="false">
      <c r="A9" s="4" t="s">
        <v>53</v>
      </c>
      <c r="B9" s="8" t="n">
        <v>1.5</v>
      </c>
      <c r="C9" s="9" t="n">
        <f aca="false">Hypothèses!$B$5</f>
        <v>550</v>
      </c>
      <c r="D9" s="9" t="n">
        <f aca="false">B9*C9</f>
        <v>825</v>
      </c>
    </row>
    <row r="10" customFormat="false" ht="15" hidden="false" customHeight="false" outlineLevel="0" collapsed="false">
      <c r="A10" s="4" t="s">
        <v>11</v>
      </c>
      <c r="B10" s="8" t="n">
        <v>1.5</v>
      </c>
      <c r="C10" s="9" t="n">
        <f aca="false">Hypothèses!$B$6</f>
        <v>500</v>
      </c>
      <c r="D10" s="9" t="n">
        <f aca="false">B10*C10</f>
        <v>750</v>
      </c>
    </row>
    <row r="11" customFormat="false" ht="15" hidden="false" customHeight="false" outlineLevel="0" collapsed="false">
      <c r="A11" s="4" t="s">
        <v>54</v>
      </c>
      <c r="B11" s="8" t="n">
        <v>1.5</v>
      </c>
      <c r="C11" s="9" t="n">
        <f aca="false">Hypothèses!$B$7</f>
        <v>300</v>
      </c>
      <c r="D11" s="9" t="n">
        <f aca="false">B11*C11</f>
        <v>450</v>
      </c>
    </row>
    <row r="12" customFormat="false" ht="15" hidden="false" customHeight="false" outlineLevel="0" collapsed="false">
      <c r="A12" s="4" t="s">
        <v>55</v>
      </c>
      <c r="B12" s="8" t="n">
        <v>0.5</v>
      </c>
      <c r="C12" s="9" t="n">
        <f aca="false">Hypothèses!$B$13</f>
        <v>200</v>
      </c>
      <c r="D12" s="9" t="n">
        <f aca="false">B12*C12</f>
        <v>100</v>
      </c>
    </row>
    <row r="13" customFormat="false" ht="15" hidden="false" customHeight="false" outlineLevel="0" collapsed="false">
      <c r="A13" s="4" t="s">
        <v>56</v>
      </c>
      <c r="B13" s="8" t="n">
        <v>3</v>
      </c>
      <c r="C13" s="9" t="n">
        <f aca="false">Hypothèses!$B$14</f>
        <v>600</v>
      </c>
      <c r="D13" s="9" t="n">
        <f aca="false">B13*C13</f>
        <v>1800</v>
      </c>
    </row>
    <row r="14" customFormat="false" ht="15" hidden="false" customHeight="false" outlineLevel="0" collapsed="false">
      <c r="A14" s="4" t="s">
        <v>57</v>
      </c>
      <c r="C14" s="10" t="n">
        <f aca="false">Hypothèses!$B$15</f>
        <v>0.154</v>
      </c>
      <c r="D14" s="9" t="n">
        <f aca="false">D13*C14</f>
        <v>277.2</v>
      </c>
    </row>
    <row r="15" customFormat="false" ht="15" hidden="false" customHeight="false" outlineLevel="0" collapsed="false">
      <c r="A15" s="4" t="s">
        <v>58</v>
      </c>
      <c r="B15" s="8" t="n">
        <v>1</v>
      </c>
      <c r="C15" s="9" t="n">
        <f aca="false">Hypothèses!$B$17</f>
        <v>1000</v>
      </c>
      <c r="D15" s="9" t="n">
        <f aca="false">B15*C15</f>
        <v>1000</v>
      </c>
    </row>
    <row r="16" customFormat="false" ht="15" hidden="false" customHeight="false" outlineLevel="0" collapsed="false">
      <c r="A16" s="4" t="s">
        <v>29</v>
      </c>
      <c r="B16" s="8" t="n">
        <v>1.5</v>
      </c>
      <c r="C16" s="9" t="n">
        <f aca="false">Hypothèses!$B$16</f>
        <v>700</v>
      </c>
      <c r="D16" s="9" t="n">
        <f aca="false">B16*C16</f>
        <v>1050</v>
      </c>
    </row>
    <row r="17" customFormat="false" ht="15" hidden="false" customHeight="false" outlineLevel="0" collapsed="false">
      <c r="A17" s="7" t="s">
        <v>59</v>
      </c>
    </row>
    <row r="18" customFormat="false" ht="15" hidden="false" customHeight="false" outlineLevel="0" collapsed="false">
      <c r="A18" s="4" t="s">
        <v>60</v>
      </c>
      <c r="B18" s="8" t="n">
        <v>3</v>
      </c>
      <c r="C18" s="9" t="n">
        <f aca="false">Hypothèses!$B$8</f>
        <v>500</v>
      </c>
      <c r="D18" s="9" t="n">
        <f aca="false">B18*C18</f>
        <v>1500</v>
      </c>
    </row>
    <row r="19" customFormat="false" ht="15" hidden="false" customHeight="false" outlineLevel="0" collapsed="false">
      <c r="A19" s="4" t="s">
        <v>61</v>
      </c>
      <c r="B19" s="8" t="n">
        <v>0.5</v>
      </c>
      <c r="C19" s="9" t="n">
        <f aca="false">Hypothèses!$B$9</f>
        <v>480</v>
      </c>
      <c r="D19" s="9" t="n">
        <f aca="false">B19*C19</f>
        <v>240</v>
      </c>
    </row>
    <row r="20" customFormat="false" ht="15" hidden="false" customHeight="false" outlineLevel="0" collapsed="false">
      <c r="A20" s="4" t="s">
        <v>62</v>
      </c>
      <c r="B20" s="8" t="n">
        <v>0.5</v>
      </c>
      <c r="C20" s="9" t="n">
        <f aca="false">Hypothèses!$B$10</f>
        <v>480</v>
      </c>
      <c r="D20" s="9" t="n">
        <f aca="false">B20*C20</f>
        <v>240</v>
      </c>
    </row>
    <row r="21" customFormat="false" ht="15" hidden="false" customHeight="false" outlineLevel="0" collapsed="false">
      <c r="A21" s="4" t="s">
        <v>63</v>
      </c>
      <c r="B21" s="8" t="n">
        <v>1</v>
      </c>
      <c r="C21" s="9" t="n">
        <f aca="false">Hypothèses!$B$11</f>
        <v>600</v>
      </c>
      <c r="D21" s="9" t="n">
        <f aca="false">B21*C21</f>
        <v>600</v>
      </c>
    </row>
    <row r="22" customFormat="false" ht="15" hidden="false" customHeight="false" outlineLevel="0" collapsed="false">
      <c r="A22" s="4" t="s">
        <v>64</v>
      </c>
      <c r="B22" s="8" t="n">
        <v>1</v>
      </c>
      <c r="C22" s="9" t="n">
        <f aca="false">Hypothèses!$B$8</f>
        <v>500</v>
      </c>
      <c r="D22" s="9" t="n">
        <f aca="false">B22*C22</f>
        <v>500</v>
      </c>
    </row>
    <row r="23" customFormat="false" ht="15" hidden="false" customHeight="false" outlineLevel="0" collapsed="false">
      <c r="A23" s="7" t="s">
        <v>65</v>
      </c>
      <c r="D23" s="11" t="n">
        <f aca="false">D3+D4+D5+D6+D8+D9+D10+D11+D12+D13+D14+D15+D16+D18+D19+D20+D21+D22</f>
        <v>12182.2</v>
      </c>
    </row>
    <row r="24" customFormat="false" ht="15" hidden="false" customHeight="false" outlineLevel="0" collapsed="false">
      <c r="A24" s="4" t="s">
        <v>66</v>
      </c>
      <c r="C24" s="12" t="n">
        <f aca="false">Hypothèses!$B$18</f>
        <v>0.15</v>
      </c>
      <c r="D24" s="9" t="n">
        <f aca="false">D23*Hypothèses!$B$18</f>
        <v>1827.33</v>
      </c>
    </row>
    <row r="25" customFormat="false" ht="15" hidden="false" customHeight="false" outlineLevel="0" collapsed="false">
      <c r="A25" s="4" t="s">
        <v>67</v>
      </c>
      <c r="C25" s="12" t="n">
        <f aca="false">Hypothèses!$B$19</f>
        <v>0.03</v>
      </c>
      <c r="D25" s="9" t="n">
        <f aca="false">D23*Hypothèses!$B$19</f>
        <v>365.466</v>
      </c>
    </row>
    <row r="26" customFormat="false" ht="15" hidden="false" customHeight="false" outlineLevel="0" collapsed="false">
      <c r="A26" s="4" t="s">
        <v>68</v>
      </c>
      <c r="C26" s="12" t="n">
        <f aca="false">Hypothèses!$B$20</f>
        <v>0.05</v>
      </c>
      <c r="D26" s="9" t="n">
        <f aca="false">D23*Hypothèses!$B$20</f>
        <v>609.11</v>
      </c>
    </row>
    <row r="27" customFormat="false" ht="15" hidden="false" customHeight="false" outlineLevel="0" collapsed="false">
      <c r="A27" s="7" t="s">
        <v>69</v>
      </c>
      <c r="D27" s="11" t="n">
        <f aca="false">D23+D24+D25+D26</f>
        <v>14984.106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4" min="3" style="0" width="14"/>
  </cols>
  <sheetData>
    <row r="1" customFormat="false" ht="15" hidden="false" customHeight="false" outlineLevel="0" collapsed="false">
      <c r="A1" s="3" t="s">
        <v>2</v>
      </c>
      <c r="B1" s="3" t="s">
        <v>43</v>
      </c>
      <c r="C1" s="3" t="s">
        <v>44</v>
      </c>
      <c r="D1" s="3" t="s">
        <v>45</v>
      </c>
    </row>
    <row r="2" customFormat="false" ht="15" hidden="false" customHeight="false" outlineLevel="0" collapsed="false">
      <c r="A2" s="7" t="s">
        <v>46</v>
      </c>
    </row>
    <row r="3" customFormat="false" ht="15" hidden="false" customHeight="false" outlineLevel="0" collapsed="false">
      <c r="A3" s="4" t="s">
        <v>47</v>
      </c>
      <c r="B3" s="8" t="n">
        <v>1.5</v>
      </c>
      <c r="C3" s="9" t="n">
        <f aca="false">Hypothèses!$B$13</f>
        <v>200</v>
      </c>
      <c r="D3" s="9" t="n">
        <f aca="false">B3*C3</f>
        <v>300</v>
      </c>
    </row>
    <row r="4" customFormat="false" ht="15" hidden="false" customHeight="false" outlineLevel="0" collapsed="false">
      <c r="A4" s="4" t="s">
        <v>48</v>
      </c>
      <c r="B4" s="8" t="n">
        <v>1</v>
      </c>
      <c r="C4" s="9" t="n">
        <f aca="false">Hypothèses!$B$12</f>
        <v>400</v>
      </c>
      <c r="D4" s="9" t="n">
        <f aca="false">B4*C4</f>
        <v>400</v>
      </c>
    </row>
    <row r="5" customFormat="false" ht="15" hidden="false" customHeight="false" outlineLevel="0" collapsed="false">
      <c r="A5" s="4" t="s">
        <v>49</v>
      </c>
      <c r="B5" s="8" t="n">
        <v>0.5</v>
      </c>
      <c r="C5" s="9" t="n">
        <f aca="false">Hypothèses!$B$7</f>
        <v>300</v>
      </c>
      <c r="D5" s="9" t="n">
        <f aca="false">B5*C5</f>
        <v>150</v>
      </c>
    </row>
    <row r="6" customFormat="false" ht="15" hidden="false" customHeight="false" outlineLevel="0" collapsed="false">
      <c r="A6" s="4" t="s">
        <v>50</v>
      </c>
      <c r="B6" s="8" t="n">
        <v>1</v>
      </c>
      <c r="C6" s="9" t="n">
        <f aca="false">Hypothèses!$B$13</f>
        <v>200</v>
      </c>
      <c r="D6" s="9" t="n">
        <f aca="false">B6*C6</f>
        <v>200</v>
      </c>
    </row>
    <row r="7" customFormat="false" ht="15" hidden="false" customHeight="false" outlineLevel="0" collapsed="false">
      <c r="A7" s="7" t="s">
        <v>51</v>
      </c>
    </row>
    <row r="8" customFormat="false" ht="15" hidden="false" customHeight="false" outlineLevel="0" collapsed="false">
      <c r="A8" s="4" t="s">
        <v>52</v>
      </c>
      <c r="B8" s="8" t="n">
        <v>1.5</v>
      </c>
      <c r="C8" s="9" t="n">
        <f aca="false">Hypothèses!$B$4</f>
        <v>1200</v>
      </c>
      <c r="D8" s="9" t="n">
        <f aca="false">B8*C8</f>
        <v>1800</v>
      </c>
    </row>
    <row r="9" customFormat="false" ht="15" hidden="false" customHeight="false" outlineLevel="0" collapsed="false">
      <c r="A9" s="4" t="s">
        <v>53</v>
      </c>
      <c r="B9" s="8" t="n">
        <v>1.5</v>
      </c>
      <c r="C9" s="9" t="n">
        <f aca="false">Hypothèses!$B$5</f>
        <v>550</v>
      </c>
      <c r="D9" s="9" t="n">
        <f aca="false">B9*C9</f>
        <v>825</v>
      </c>
    </row>
    <row r="10" customFormat="false" ht="15" hidden="false" customHeight="false" outlineLevel="0" collapsed="false">
      <c r="A10" s="4" t="s">
        <v>11</v>
      </c>
      <c r="B10" s="8" t="n">
        <v>1.5</v>
      </c>
      <c r="C10" s="9" t="n">
        <f aca="false">Hypothèses!$B$6</f>
        <v>500</v>
      </c>
      <c r="D10" s="9" t="n">
        <f aca="false">B10*C10</f>
        <v>750</v>
      </c>
    </row>
    <row r="11" customFormat="false" ht="15" hidden="false" customHeight="false" outlineLevel="0" collapsed="false">
      <c r="A11" s="4" t="s">
        <v>54</v>
      </c>
      <c r="B11" s="8" t="n">
        <v>1.5</v>
      </c>
      <c r="C11" s="9" t="n">
        <f aca="false">Hypothèses!$B$7</f>
        <v>300</v>
      </c>
      <c r="D11" s="9" t="n">
        <f aca="false">B11*C11</f>
        <v>450</v>
      </c>
    </row>
    <row r="12" customFormat="false" ht="15" hidden="false" customHeight="false" outlineLevel="0" collapsed="false">
      <c r="A12" s="4" t="s">
        <v>55</v>
      </c>
      <c r="B12" s="8" t="n">
        <v>0.5</v>
      </c>
      <c r="C12" s="9" t="n">
        <f aca="false">Hypothèses!$B$13</f>
        <v>200</v>
      </c>
      <c r="D12" s="9" t="n">
        <f aca="false">B12*C12</f>
        <v>100</v>
      </c>
    </row>
    <row r="13" customFormat="false" ht="15" hidden="false" customHeight="false" outlineLevel="0" collapsed="false">
      <c r="A13" s="4" t="s">
        <v>56</v>
      </c>
      <c r="B13" s="8" t="n">
        <v>3</v>
      </c>
      <c r="C13" s="9" t="n">
        <f aca="false">Hypothèses!$B$14</f>
        <v>600</v>
      </c>
      <c r="D13" s="9" t="n">
        <f aca="false">B13*C13</f>
        <v>1800</v>
      </c>
    </row>
    <row r="14" customFormat="false" ht="15" hidden="false" customHeight="false" outlineLevel="0" collapsed="false">
      <c r="A14" s="4" t="s">
        <v>57</v>
      </c>
      <c r="C14" s="10" t="n">
        <f aca="false">Hypothèses!$B$15</f>
        <v>0.154</v>
      </c>
      <c r="D14" s="9" t="n">
        <f aca="false">D13*C14</f>
        <v>277.2</v>
      </c>
    </row>
    <row r="15" customFormat="false" ht="15" hidden="false" customHeight="false" outlineLevel="0" collapsed="false">
      <c r="A15" s="4" t="s">
        <v>58</v>
      </c>
      <c r="B15" s="8" t="n">
        <v>1</v>
      </c>
      <c r="C15" s="9" t="n">
        <f aca="false">Hypothèses!$B$17</f>
        <v>1000</v>
      </c>
      <c r="D15" s="9" t="n">
        <f aca="false">B15*C15</f>
        <v>1000</v>
      </c>
    </row>
    <row r="16" customFormat="false" ht="15" hidden="false" customHeight="false" outlineLevel="0" collapsed="false">
      <c r="A16" s="4" t="s">
        <v>29</v>
      </c>
      <c r="B16" s="8" t="n">
        <v>1.5</v>
      </c>
      <c r="C16" s="9" t="n">
        <f aca="false">Hypothèses!$B$16</f>
        <v>700</v>
      </c>
      <c r="D16" s="9" t="n">
        <f aca="false">B16*C16</f>
        <v>1050</v>
      </c>
    </row>
    <row r="17" customFormat="false" ht="15" hidden="false" customHeight="false" outlineLevel="0" collapsed="false">
      <c r="A17" s="7" t="s">
        <v>59</v>
      </c>
    </row>
    <row r="18" customFormat="false" ht="15" hidden="false" customHeight="false" outlineLevel="0" collapsed="false">
      <c r="A18" s="4" t="s">
        <v>60</v>
      </c>
      <c r="B18" s="8" t="n">
        <v>3</v>
      </c>
      <c r="C18" s="9" t="n">
        <f aca="false">Hypothèses!$B$8</f>
        <v>500</v>
      </c>
      <c r="D18" s="9" t="n">
        <f aca="false">B18*C18</f>
        <v>1500</v>
      </c>
    </row>
    <row r="19" customFormat="false" ht="15" hidden="false" customHeight="false" outlineLevel="0" collapsed="false">
      <c r="A19" s="4" t="s">
        <v>61</v>
      </c>
      <c r="B19" s="8" t="n">
        <v>0.5</v>
      </c>
      <c r="C19" s="9" t="n">
        <f aca="false">Hypothèses!$B$9</f>
        <v>480</v>
      </c>
      <c r="D19" s="9" t="n">
        <f aca="false">B19*C19</f>
        <v>240</v>
      </c>
    </row>
    <row r="20" customFormat="false" ht="15" hidden="false" customHeight="false" outlineLevel="0" collapsed="false">
      <c r="A20" s="4" t="s">
        <v>62</v>
      </c>
      <c r="B20" s="8" t="n">
        <v>0.5</v>
      </c>
      <c r="C20" s="9" t="n">
        <f aca="false">Hypothèses!$B$10</f>
        <v>480</v>
      </c>
      <c r="D20" s="9" t="n">
        <f aca="false">B20*C20</f>
        <v>240</v>
      </c>
    </row>
    <row r="21" customFormat="false" ht="15" hidden="false" customHeight="false" outlineLevel="0" collapsed="false">
      <c r="A21" s="4" t="s">
        <v>63</v>
      </c>
      <c r="B21" s="8" t="n">
        <v>1</v>
      </c>
      <c r="C21" s="9" t="n">
        <f aca="false">Hypothèses!$B$11</f>
        <v>600</v>
      </c>
      <c r="D21" s="9" t="n">
        <f aca="false">B21*C21</f>
        <v>600</v>
      </c>
    </row>
    <row r="22" customFormat="false" ht="15" hidden="false" customHeight="false" outlineLevel="0" collapsed="false">
      <c r="A22" s="4" t="s">
        <v>64</v>
      </c>
      <c r="B22" s="8" t="n">
        <v>1</v>
      </c>
      <c r="C22" s="9" t="n">
        <f aca="false">Hypothèses!$B$8</f>
        <v>500</v>
      </c>
      <c r="D22" s="9" t="n">
        <f aca="false">B22*C22</f>
        <v>500</v>
      </c>
    </row>
    <row r="23" customFormat="false" ht="15" hidden="false" customHeight="false" outlineLevel="0" collapsed="false">
      <c r="A23" s="7" t="s">
        <v>65</v>
      </c>
      <c r="D23" s="11" t="n">
        <f aca="false">D3+D4+D5+D6+D8+D9+D10+D11+D12+D13+D14+D15+D16+D18+D19+D20+D21+D22</f>
        <v>12182.2</v>
      </c>
    </row>
    <row r="24" customFormat="false" ht="15" hidden="false" customHeight="false" outlineLevel="0" collapsed="false">
      <c r="A24" s="4" t="s">
        <v>66</v>
      </c>
      <c r="C24" s="12" t="n">
        <f aca="false">Hypothèses!$B$18</f>
        <v>0.15</v>
      </c>
      <c r="D24" s="9" t="n">
        <f aca="false">D23*Hypothèses!$B$18</f>
        <v>1827.33</v>
      </c>
    </row>
    <row r="25" customFormat="false" ht="15" hidden="false" customHeight="false" outlineLevel="0" collapsed="false">
      <c r="A25" s="4" t="s">
        <v>67</v>
      </c>
      <c r="C25" s="12" t="n">
        <f aca="false">Hypothèses!$B$19</f>
        <v>0.03</v>
      </c>
      <c r="D25" s="9" t="n">
        <f aca="false">D23*Hypothèses!$B$19</f>
        <v>365.466</v>
      </c>
    </row>
    <row r="26" customFormat="false" ht="15" hidden="false" customHeight="false" outlineLevel="0" collapsed="false">
      <c r="A26" s="4" t="s">
        <v>68</v>
      </c>
      <c r="C26" s="12" t="n">
        <f aca="false">Hypothèses!$B$20</f>
        <v>0.05</v>
      </c>
      <c r="D26" s="9" t="n">
        <f aca="false">D23*Hypothèses!$B$20</f>
        <v>609.11</v>
      </c>
    </row>
    <row r="27" customFormat="false" ht="15" hidden="false" customHeight="false" outlineLevel="0" collapsed="false">
      <c r="A27" s="7" t="s">
        <v>69</v>
      </c>
      <c r="D27" s="11" t="n">
        <f aca="false">D23+D24+D25+D26</f>
        <v>14984.106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3" t="s">
        <v>2</v>
      </c>
      <c r="B1" s="3" t="s">
        <v>70</v>
      </c>
    </row>
    <row r="2" customFormat="false" ht="15" hidden="false" customHeight="false" outlineLevel="0" collapsed="false">
      <c r="A2" s="4" t="s">
        <v>71</v>
      </c>
      <c r="B2" s="9" t="n">
        <f aca="false">CYRCE!D27</f>
        <v>14984.106</v>
      </c>
    </row>
    <row r="3" customFormat="false" ht="15" hidden="false" customHeight="false" outlineLevel="0" collapsed="false">
      <c r="A3" s="4" t="s">
        <v>72</v>
      </c>
      <c r="B3" s="9" t="n">
        <f aca="false">BIOT2!D27</f>
        <v>14984.106</v>
      </c>
    </row>
    <row r="4" customFormat="false" ht="15" hidden="false" customHeight="false" outlineLevel="0" collapsed="false">
      <c r="A4" s="7" t="s">
        <v>73</v>
      </c>
      <c r="B4" s="11" t="n">
        <f aca="false">B2+B3</f>
        <v>29968.212</v>
      </c>
    </row>
    <row r="5" customFormat="false" ht="15" hidden="false" customHeight="false" outlineLevel="0" collapsed="false">
      <c r="A5" s="4" t="s">
        <v>39</v>
      </c>
      <c r="B5" s="9" t="n">
        <f aca="false">B4*Hypothèses!$B$21</f>
        <v>5993.6424</v>
      </c>
    </row>
    <row r="6" customFormat="false" ht="15" hidden="false" customHeight="false" outlineLevel="0" collapsed="false">
      <c r="A6" s="7" t="s">
        <v>74</v>
      </c>
      <c r="B6" s="11" t="n">
        <f aca="false">B4+B5</f>
        <v>35961.8544</v>
      </c>
    </row>
    <row r="7" customFormat="false" ht="15" hidden="false" customHeight="false" outlineLevel="0" collapsed="false">
      <c r="A7" s="4" t="s">
        <v>41</v>
      </c>
      <c r="B7" s="9" t="n">
        <f aca="false">Hypothèses!$B$22</f>
        <v>40000</v>
      </c>
    </row>
    <row r="8" customFormat="false" ht="15" hidden="false" customHeight="false" outlineLevel="0" collapsed="false">
      <c r="A8" s="7" t="s">
        <v>75</v>
      </c>
      <c r="B8" s="11" t="n">
        <f aca="false">B7-B6</f>
        <v>4038.1456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2026-09-08T11:17:20Z</dcterms:created>
  <dc:creator>openpyxl</dc:creator>
  <dc:description/>
  <dc:language>en-US</dc:language>
  <cp:lastModifiedBy/>
  <dcterms:modified xsi:type="dcterms:W3CDTF">2026-09-08T11:17:20Z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