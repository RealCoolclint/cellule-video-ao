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èses" sheetId="1" state="visible" r:id="rId3"/>
    <sheet name="Chiffrage lignes vidéo" sheetId="2" state="visible" r:id="rId4"/>
    <sheet name="Récap pour bordereau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Ce total est un ordre de grandeur non contractuel (les quantités DQE sont majorées par le client). Le 'Prix plafond HT' à déclarer dans le bordereau officiel reste à définir par les OPS, en ajoutant leur marge commerciale à ce coût de revient.</t>
        </r>
      </text>
    </comment>
  </commentList>
</comments>
</file>

<file path=xl/sharedStrings.xml><?xml version="1.0" encoding="utf-8"?>
<sst xmlns="http://schemas.openxmlformats.org/spreadsheetml/2006/main" count="84" uniqueCount="58">
  <si>
    <t xml:space="preserve">LÉGENDE : cellules bleues = valeurs modifiables (inputs) — cellules noires = formules.</t>
  </si>
  <si>
    <t xml:space="preserve">Chiffrage = coût de revient production (HT). Les OPS y appliquent leur marge commerciale pour fixer le 'Prix plafond HT' réellement déclaré dans le bordereau officiel (onglet BPP).</t>
  </si>
  <si>
    <t xml:space="preserve">Poste</t>
  </si>
  <si>
    <t xml:space="preserve">Valeur</t>
  </si>
  <si>
    <t xml:space="preserve">Unité</t>
  </si>
  <si>
    <t xml:space="preserve">Source</t>
  </si>
  <si>
    <t xml:space="preserve">Storyboarder (freelance)</t>
  </si>
  <si>
    <t xml:space="preserve">€/j</t>
  </si>
  <si>
    <t xml:space="preserve">BPU IDFM Grille Coûts Production — Marché pub</t>
  </si>
  <si>
    <t xml:space="preserve">Monteur·se</t>
  </si>
  <si>
    <t xml:space="preserve">BPU IDFM Grille Coûts Production — COMETES / Malt</t>
  </si>
  <si>
    <t xml:space="preserve">Motion designer</t>
  </si>
  <si>
    <t xml:space="preserve">BPU IDFM Grille Coûts Production — Marché pub / Malt</t>
  </si>
  <si>
    <t xml:space="preserve">Cadreur / JRI (image + son, tournage léger 1 lieu)</t>
  </si>
  <si>
    <t xml:space="preserve">Comédien voix off (session)</t>
  </si>
  <si>
    <t xml:space="preserve">€</t>
  </si>
  <si>
    <t xml:space="preserve">BPU IDFM Grille Coûts Production — Marché / CCN</t>
  </si>
  <si>
    <t xml:space="preserve">Taux interne (supervision / coordination)</t>
  </si>
  <si>
    <t xml:space="preserve">Référentiel de Coûts Internes Pôle Audiovisuel — validé Direction</t>
  </si>
  <si>
    <t xml:space="preserve">Kit tournage léger</t>
  </si>
  <si>
    <t xml:space="preserve">BPU IDFM Grille Coûts Production</t>
  </si>
  <si>
    <t xml:space="preserve">Déplacement forfaitaire (1 lieu, équipe légère, moyenne IDF/province)</t>
  </si>
  <si>
    <t xml:space="preserve">Référentiel interne — session CNES/COMETES</t>
  </si>
  <si>
    <t xml:space="preserve">Pilotage (% charge de production)</t>
  </si>
  <si>
    <t xml:space="preserve">%</t>
  </si>
  <si>
    <t xml:space="preserve">BPU IDFM Grille Coûts Production — méthodologie BPU/DQE</t>
  </si>
  <si>
    <t xml:space="preserve">Assurance production (projets avec tournage)</t>
  </si>
  <si>
    <t xml:space="preserve">Provision imprévus (projets avec tournage)</t>
  </si>
  <si>
    <t xml:space="preserve">TVA</t>
  </si>
  <si>
    <t xml:space="preserve">Taux standard</t>
  </si>
  <si>
    <t xml:space="preserve">Jours / Quantité</t>
  </si>
  <si>
    <t xml:space="preserve">Taux unitaire</t>
  </si>
  <si>
    <t xml:space="preserve">Coût</t>
  </si>
  <si>
    <t xml:space="preserve">Ligne 8 — Vidéo courte verticale 30-60s à partir d'existant (qté DQE : 25)</t>
  </si>
  <si>
    <t xml:space="preserve">Montage</t>
  </si>
  <si>
    <t xml:space="preserve">Habillage / motion léger</t>
  </si>
  <si>
    <t xml:space="preserve">Supervision interne</t>
  </si>
  <si>
    <t xml:space="preserve">Sous-total</t>
  </si>
  <si>
    <t xml:space="preserve">Pilotage</t>
  </si>
  <si>
    <t xml:space="preserve">COÛT DE REVIENT (HT) — forfait</t>
  </si>
  <si>
    <t xml:space="preserve">Ligne 9 — Vidéo éditoriale 2-4min SANS tournage (qté DQE : 12)</t>
  </si>
  <si>
    <t xml:space="preserve">Storyboard</t>
  </si>
  <si>
    <t xml:space="preserve">Montage / motion design</t>
  </si>
  <si>
    <t xml:space="preserve">Habillage / motion design</t>
  </si>
  <si>
    <t xml:space="preserve">Voix off (1 session, si nécessaire)</t>
  </si>
  <si>
    <t xml:space="preserve">Ligne 10 — Vidéo éditoriale 2-4min AVEC tournage, 1 jour/1 lieu (qté DQE : 10)</t>
  </si>
  <si>
    <t xml:space="preserve">Préparation (interne)</t>
  </si>
  <si>
    <t xml:space="preserve">Tournage — Cadreur/JRI (image+son)</t>
  </si>
  <si>
    <t xml:space="preserve">Supervision interne (tournage)</t>
  </si>
  <si>
    <t xml:space="preserve">Déplacement forfaitaire</t>
  </si>
  <si>
    <t xml:space="preserve">Déclinaison courte additionnelle</t>
  </si>
  <si>
    <t xml:space="preserve">Assurance production</t>
  </si>
  <si>
    <t xml:space="preserve">Provision imprévus</t>
  </si>
  <si>
    <t xml:space="preserve">Ligne du bordereau officiel</t>
  </si>
  <si>
    <t xml:space="preserve">Qté DQE (non contractuelle)</t>
  </si>
  <si>
    <t xml:space="preserve">Coût de revient HT (forfait)</t>
  </si>
  <si>
    <t xml:space="preserve">Total pondéré (coût × qté)</t>
  </si>
  <si>
    <t xml:space="preserve">TOTAL (coût de revient, 3 lignes vidéo)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</si>
</sst>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€&quot;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name val="Arial"/>
      <family val="0"/>
      <charset val="1"/>
    </font>
    <font>
      <b val="true"/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EAF1FB"/>
      </patternFill>
    </fill>
    <fill>
      <patternFill patternType="solid">
        <fgColor rgb="FFEAF1FB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AF1FB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6</v>
      </c>
      <c r="B4" s="5" t="n">
        <v>400</v>
      </c>
      <c r="C4" s="4" t="s">
        <v>7</v>
      </c>
      <c r="D4" s="1" t="s">
        <v>8</v>
      </c>
    </row>
    <row r="5" customFormat="false" ht="15" hidden="false" customHeight="false" outlineLevel="0" collapsed="false">
      <c r="A5" s="4" t="s">
        <v>9</v>
      </c>
      <c r="B5" s="5" t="n">
        <v>500</v>
      </c>
      <c r="C5" s="4" t="s">
        <v>7</v>
      </c>
      <c r="D5" s="1" t="s">
        <v>10</v>
      </c>
    </row>
    <row r="6" customFormat="false" ht="15" hidden="false" customHeight="false" outlineLevel="0" collapsed="false">
      <c r="A6" s="4" t="s">
        <v>11</v>
      </c>
      <c r="B6" s="5" t="n">
        <v>600</v>
      </c>
      <c r="C6" s="4" t="s">
        <v>7</v>
      </c>
      <c r="D6" s="1" t="s">
        <v>12</v>
      </c>
    </row>
    <row r="7" customFormat="false" ht="15" hidden="false" customHeight="false" outlineLevel="0" collapsed="false">
      <c r="A7" s="4" t="s">
        <v>13</v>
      </c>
      <c r="B7" s="5" t="n">
        <v>550</v>
      </c>
      <c r="C7" s="4" t="s">
        <v>7</v>
      </c>
      <c r="D7" s="1" t="s">
        <v>10</v>
      </c>
    </row>
    <row r="8" customFormat="false" ht="15" hidden="false" customHeight="false" outlineLevel="0" collapsed="false">
      <c r="A8" s="4" t="s">
        <v>14</v>
      </c>
      <c r="B8" s="5" t="n">
        <v>450</v>
      </c>
      <c r="C8" s="4" t="s">
        <v>15</v>
      </c>
      <c r="D8" s="1" t="s">
        <v>16</v>
      </c>
    </row>
    <row r="9" customFormat="false" ht="15" hidden="false" customHeight="false" outlineLevel="0" collapsed="false">
      <c r="A9" s="4" t="s">
        <v>17</v>
      </c>
      <c r="B9" s="5" t="n">
        <v>200</v>
      </c>
      <c r="C9" s="4" t="s">
        <v>7</v>
      </c>
      <c r="D9" s="1" t="s">
        <v>18</v>
      </c>
    </row>
    <row r="10" customFormat="false" ht="15" hidden="false" customHeight="false" outlineLevel="0" collapsed="false">
      <c r="A10" s="4" t="s">
        <v>19</v>
      </c>
      <c r="B10" s="5" t="n">
        <v>300</v>
      </c>
      <c r="C10" s="4" t="s">
        <v>7</v>
      </c>
      <c r="D10" s="1" t="s">
        <v>20</v>
      </c>
    </row>
    <row r="11" customFormat="false" ht="15" hidden="false" customHeight="false" outlineLevel="0" collapsed="false">
      <c r="A11" s="4" t="s">
        <v>21</v>
      </c>
      <c r="B11" s="5" t="n">
        <v>400</v>
      </c>
      <c r="C11" s="4" t="s">
        <v>15</v>
      </c>
      <c r="D11" s="1" t="s">
        <v>22</v>
      </c>
    </row>
    <row r="12" customFormat="false" ht="15" hidden="false" customHeight="false" outlineLevel="0" collapsed="false">
      <c r="A12" s="4" t="s">
        <v>23</v>
      </c>
      <c r="B12" s="6" t="n">
        <v>0.05</v>
      </c>
      <c r="C12" s="4" t="s">
        <v>24</v>
      </c>
      <c r="D12" s="1" t="s">
        <v>25</v>
      </c>
    </row>
    <row r="13" customFormat="false" ht="15" hidden="false" customHeight="false" outlineLevel="0" collapsed="false">
      <c r="A13" s="4" t="s">
        <v>26</v>
      </c>
      <c r="B13" s="6" t="n">
        <v>0.03</v>
      </c>
      <c r="C13" s="4" t="s">
        <v>24</v>
      </c>
      <c r="D13" s="1" t="s">
        <v>20</v>
      </c>
    </row>
    <row r="14" customFormat="false" ht="15" hidden="false" customHeight="false" outlineLevel="0" collapsed="false">
      <c r="A14" s="4" t="s">
        <v>27</v>
      </c>
      <c r="B14" s="6" t="n">
        <v>0.05</v>
      </c>
      <c r="C14" s="4" t="s">
        <v>24</v>
      </c>
      <c r="D14" s="1" t="s">
        <v>20</v>
      </c>
    </row>
    <row r="15" customFormat="false" ht="15" hidden="false" customHeight="false" outlineLevel="0" collapsed="false">
      <c r="A15" s="4" t="s">
        <v>28</v>
      </c>
      <c r="B15" s="6" t="n">
        <v>0.2</v>
      </c>
      <c r="C15" s="4" t="s">
        <v>24</v>
      </c>
      <c r="D15" s="1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4" min="2" style="0" width="14"/>
  </cols>
  <sheetData>
    <row r="1" customFormat="false" ht="15" hidden="false" customHeight="false" outlineLevel="0" collapsed="false">
      <c r="A1" s="3" t="s">
        <v>2</v>
      </c>
      <c r="B1" s="3" t="s">
        <v>30</v>
      </c>
      <c r="C1" s="3" t="s">
        <v>31</v>
      </c>
      <c r="D1" s="3" t="s">
        <v>32</v>
      </c>
    </row>
    <row r="2" customFormat="false" ht="15" hidden="false" customHeight="false" outlineLevel="0" collapsed="false">
      <c r="A2" s="7" t="s">
        <v>33</v>
      </c>
      <c r="B2" s="8"/>
      <c r="C2" s="8"/>
      <c r="D2" s="8"/>
    </row>
    <row r="3" customFormat="false" ht="15" hidden="false" customHeight="false" outlineLevel="0" collapsed="false">
      <c r="A3" s="4" t="s">
        <v>34</v>
      </c>
      <c r="B3" s="9" t="n">
        <v>0.5</v>
      </c>
      <c r="C3" s="10" t="n">
        <f aca="false">Hypothèses!$B$5</f>
        <v>500</v>
      </c>
      <c r="D3" s="10" t="n">
        <f aca="false">B3*C3</f>
        <v>250</v>
      </c>
    </row>
    <row r="4" customFormat="false" ht="15" hidden="false" customHeight="false" outlineLevel="0" collapsed="false">
      <c r="A4" s="4" t="s">
        <v>35</v>
      </c>
      <c r="B4" s="9" t="n">
        <v>0.25</v>
      </c>
      <c r="C4" s="10" t="n">
        <f aca="false">Hypothèses!$B$6</f>
        <v>600</v>
      </c>
      <c r="D4" s="10" t="n">
        <f aca="false">B4*C4</f>
        <v>150</v>
      </c>
    </row>
    <row r="5" customFormat="false" ht="15" hidden="false" customHeight="false" outlineLevel="0" collapsed="false">
      <c r="A5" s="4" t="s">
        <v>36</v>
      </c>
      <c r="B5" s="9" t="n">
        <v>0.1</v>
      </c>
      <c r="C5" s="10" t="n">
        <f aca="false">Hypothèses!$B$9</f>
        <v>200</v>
      </c>
      <c r="D5" s="10" t="n">
        <f aca="false">B5*C5</f>
        <v>20</v>
      </c>
    </row>
    <row r="6" customFormat="false" ht="15" hidden="false" customHeight="false" outlineLevel="0" collapsed="false">
      <c r="A6" s="4" t="s">
        <v>37</v>
      </c>
      <c r="D6" s="10" t="n">
        <f aca="false">D3+D4+D5</f>
        <v>420</v>
      </c>
    </row>
    <row r="7" customFormat="false" ht="15" hidden="false" customHeight="false" outlineLevel="0" collapsed="false">
      <c r="A7" s="4" t="s">
        <v>38</v>
      </c>
      <c r="C7" s="11" t="n">
        <f aca="false">Hypothèses!$B$12</f>
        <v>0.05</v>
      </c>
      <c r="D7" s="10" t="n">
        <f aca="false">D6*Hypothèses!$B$12</f>
        <v>21</v>
      </c>
    </row>
    <row r="8" customFormat="false" ht="15" hidden="false" customHeight="false" outlineLevel="0" collapsed="false">
      <c r="A8" s="12" t="s">
        <v>39</v>
      </c>
      <c r="D8" s="13" t="n">
        <f aca="false">D6+D7</f>
        <v>441</v>
      </c>
    </row>
    <row r="10" customFormat="false" ht="15" hidden="false" customHeight="false" outlineLevel="0" collapsed="false">
      <c r="A10" s="7" t="s">
        <v>40</v>
      </c>
      <c r="B10" s="8"/>
      <c r="C10" s="8"/>
      <c r="D10" s="8"/>
    </row>
    <row r="11" customFormat="false" ht="15" hidden="false" customHeight="false" outlineLevel="0" collapsed="false">
      <c r="A11" s="4" t="s">
        <v>41</v>
      </c>
      <c r="B11" s="9" t="n">
        <v>0.75</v>
      </c>
      <c r="C11" s="10" t="n">
        <f aca="false">Hypothèses!$B$4</f>
        <v>400</v>
      </c>
      <c r="D11" s="10" t="n">
        <f aca="false">B11*C11</f>
        <v>300</v>
      </c>
    </row>
    <row r="12" customFormat="false" ht="15" hidden="false" customHeight="false" outlineLevel="0" collapsed="false">
      <c r="A12" s="4" t="s">
        <v>42</v>
      </c>
      <c r="B12" s="9" t="n">
        <v>1.5</v>
      </c>
      <c r="C12" s="10" t="n">
        <f aca="false">Hypothèses!$B$5</f>
        <v>500</v>
      </c>
      <c r="D12" s="10" t="n">
        <f aca="false">B12*C12</f>
        <v>750</v>
      </c>
    </row>
    <row r="13" customFormat="false" ht="15" hidden="false" customHeight="false" outlineLevel="0" collapsed="false">
      <c r="A13" s="4" t="s">
        <v>43</v>
      </c>
      <c r="B13" s="9" t="n">
        <v>1</v>
      </c>
      <c r="C13" s="10" t="n">
        <f aca="false">Hypothèses!$B$6</f>
        <v>600</v>
      </c>
      <c r="D13" s="10" t="n">
        <f aca="false">B13*C13</f>
        <v>600</v>
      </c>
    </row>
    <row r="14" customFormat="false" ht="15" hidden="false" customHeight="false" outlineLevel="0" collapsed="false">
      <c r="A14" s="4" t="s">
        <v>44</v>
      </c>
      <c r="B14" s="9" t="n">
        <v>1</v>
      </c>
      <c r="C14" s="10" t="n">
        <f aca="false">Hypothèses!$B$8</f>
        <v>450</v>
      </c>
      <c r="D14" s="10" t="n">
        <f aca="false">B14*C14</f>
        <v>450</v>
      </c>
    </row>
    <row r="15" customFormat="false" ht="15" hidden="false" customHeight="false" outlineLevel="0" collapsed="false">
      <c r="A15" s="4" t="s">
        <v>36</v>
      </c>
      <c r="B15" s="9" t="n">
        <v>0.25</v>
      </c>
      <c r="C15" s="10" t="n">
        <f aca="false">Hypothèses!$B$9</f>
        <v>200</v>
      </c>
      <c r="D15" s="10" t="n">
        <f aca="false">B15*C15</f>
        <v>50</v>
      </c>
    </row>
    <row r="16" customFormat="false" ht="15" hidden="false" customHeight="false" outlineLevel="0" collapsed="false">
      <c r="A16" s="4" t="s">
        <v>37</v>
      </c>
      <c r="D16" s="10" t="n">
        <f aca="false">D11+D12+D13+D14+D15</f>
        <v>2150</v>
      </c>
    </row>
    <row r="17" customFormat="false" ht="15" hidden="false" customHeight="false" outlineLevel="0" collapsed="false">
      <c r="A17" s="4" t="s">
        <v>38</v>
      </c>
      <c r="C17" s="11" t="n">
        <f aca="false">Hypothèses!$B$12</f>
        <v>0.05</v>
      </c>
      <c r="D17" s="10" t="n">
        <f aca="false">D16*Hypothèses!$B$12</f>
        <v>107.5</v>
      </c>
    </row>
    <row r="18" customFormat="false" ht="15" hidden="false" customHeight="false" outlineLevel="0" collapsed="false">
      <c r="A18" s="12" t="s">
        <v>39</v>
      </c>
      <c r="D18" s="13" t="n">
        <f aca="false">D16+D17</f>
        <v>2257.5</v>
      </c>
    </row>
    <row r="20" customFormat="false" ht="15" hidden="false" customHeight="false" outlineLevel="0" collapsed="false">
      <c r="A20" s="7" t="s">
        <v>45</v>
      </c>
      <c r="B20" s="8"/>
      <c r="C20" s="8"/>
      <c r="D20" s="8"/>
    </row>
    <row r="21" customFormat="false" ht="15" hidden="false" customHeight="false" outlineLevel="0" collapsed="false">
      <c r="A21" s="4" t="s">
        <v>46</v>
      </c>
      <c r="B21" s="9" t="n">
        <v>0.5</v>
      </c>
      <c r="C21" s="10" t="n">
        <f aca="false">Hypothèses!$B$9</f>
        <v>200</v>
      </c>
      <c r="D21" s="10" t="n">
        <f aca="false">B21*C21</f>
        <v>100</v>
      </c>
    </row>
    <row r="22" customFormat="false" ht="15" hidden="false" customHeight="false" outlineLevel="0" collapsed="false">
      <c r="A22" s="4" t="s">
        <v>47</v>
      </c>
      <c r="B22" s="9" t="n">
        <v>1</v>
      </c>
      <c r="C22" s="10" t="n">
        <f aca="false">Hypothèses!$B$7</f>
        <v>550</v>
      </c>
      <c r="D22" s="10" t="n">
        <f aca="false">B22*C22</f>
        <v>550</v>
      </c>
    </row>
    <row r="23" customFormat="false" ht="15" hidden="false" customHeight="false" outlineLevel="0" collapsed="false">
      <c r="A23" s="4" t="s">
        <v>48</v>
      </c>
      <c r="B23" s="9" t="n">
        <v>0.25</v>
      </c>
      <c r="C23" s="10" t="n">
        <f aca="false">Hypothèses!$B$9</f>
        <v>200</v>
      </c>
      <c r="D23" s="10" t="n">
        <f aca="false">B23*C23</f>
        <v>50</v>
      </c>
    </row>
    <row r="24" customFormat="false" ht="15" hidden="false" customHeight="false" outlineLevel="0" collapsed="false">
      <c r="A24" s="4" t="s">
        <v>19</v>
      </c>
      <c r="B24" s="9" t="n">
        <v>1</v>
      </c>
      <c r="C24" s="10" t="n">
        <f aca="false">Hypothèses!$B$10</f>
        <v>300</v>
      </c>
      <c r="D24" s="10" t="n">
        <f aca="false">B24*C24</f>
        <v>300</v>
      </c>
    </row>
    <row r="25" customFormat="false" ht="15" hidden="false" customHeight="false" outlineLevel="0" collapsed="false">
      <c r="A25" s="4" t="s">
        <v>49</v>
      </c>
      <c r="B25" s="9" t="n">
        <v>1</v>
      </c>
      <c r="C25" s="10" t="n">
        <f aca="false">Hypothèses!$B$11</f>
        <v>400</v>
      </c>
      <c r="D25" s="10" t="n">
        <f aca="false">B25*C25</f>
        <v>400</v>
      </c>
    </row>
    <row r="26" customFormat="false" ht="15" hidden="false" customHeight="false" outlineLevel="0" collapsed="false">
      <c r="A26" s="4" t="s">
        <v>34</v>
      </c>
      <c r="B26" s="9" t="n">
        <v>2</v>
      </c>
      <c r="C26" s="10" t="n">
        <f aca="false">Hypothèses!$B$5</f>
        <v>500</v>
      </c>
      <c r="D26" s="10" t="n">
        <f aca="false">B26*C26</f>
        <v>1000</v>
      </c>
    </row>
    <row r="27" customFormat="false" ht="15" hidden="false" customHeight="false" outlineLevel="0" collapsed="false">
      <c r="A27" s="4" t="s">
        <v>43</v>
      </c>
      <c r="B27" s="9" t="n">
        <v>0.5</v>
      </c>
      <c r="C27" s="10" t="n">
        <f aca="false">Hypothèses!$B$6</f>
        <v>600</v>
      </c>
      <c r="D27" s="10" t="n">
        <f aca="false">B27*C27</f>
        <v>300</v>
      </c>
    </row>
    <row r="28" customFormat="false" ht="15" hidden="false" customHeight="false" outlineLevel="0" collapsed="false">
      <c r="A28" s="4" t="s">
        <v>50</v>
      </c>
      <c r="B28" s="9" t="n">
        <v>0.5</v>
      </c>
      <c r="C28" s="10" t="n">
        <f aca="false">Hypothèses!$B$5</f>
        <v>500</v>
      </c>
      <c r="D28" s="10" t="n">
        <f aca="false">B28*C28</f>
        <v>250</v>
      </c>
    </row>
    <row r="29" customFormat="false" ht="15" hidden="false" customHeight="false" outlineLevel="0" collapsed="false">
      <c r="A29" s="4" t="s">
        <v>37</v>
      </c>
      <c r="D29" s="10" t="n">
        <f aca="false">D21+D22+D23+D24+D25+D26+D27+D28</f>
        <v>2950</v>
      </c>
    </row>
    <row r="30" customFormat="false" ht="15" hidden="false" customHeight="false" outlineLevel="0" collapsed="false">
      <c r="A30" s="4" t="s">
        <v>38</v>
      </c>
      <c r="C30" s="11" t="n">
        <f aca="false">Hypothèses!$B$12</f>
        <v>0.05</v>
      </c>
      <c r="D30" s="10" t="n">
        <f aca="false">D29*Hypothèses!$B$12</f>
        <v>147.5</v>
      </c>
    </row>
    <row r="31" customFormat="false" ht="15" hidden="false" customHeight="false" outlineLevel="0" collapsed="false">
      <c r="A31" s="4" t="s">
        <v>51</v>
      </c>
      <c r="C31" s="11" t="n">
        <f aca="false">Hypothèses!$B$13</f>
        <v>0.03</v>
      </c>
      <c r="D31" s="10" t="n">
        <f aca="false">D29*Hypothèses!$B$13</f>
        <v>88.5</v>
      </c>
    </row>
    <row r="32" customFormat="false" ht="15" hidden="false" customHeight="false" outlineLevel="0" collapsed="false">
      <c r="A32" s="4" t="s">
        <v>52</v>
      </c>
      <c r="C32" s="11" t="n">
        <f aca="false">Hypothèses!$B$14</f>
        <v>0.05</v>
      </c>
      <c r="D32" s="10" t="n">
        <f aca="false">D29*Hypothèses!$B$14</f>
        <v>147.5</v>
      </c>
    </row>
    <row r="33" customFormat="false" ht="15" hidden="false" customHeight="false" outlineLevel="0" collapsed="false">
      <c r="A33" s="12" t="s">
        <v>39</v>
      </c>
      <c r="D33" s="13" t="n">
        <f aca="false">D29+D30+D31+D32</f>
        <v>3333.5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4" min="3" style="0" width="18"/>
  </cols>
  <sheetData>
    <row r="1" customFormat="false" ht="15" hidden="false" customHeight="false" outlineLevel="0" collapsed="false">
      <c r="A1" s="3" t="s">
        <v>53</v>
      </c>
      <c r="B1" s="3" t="s">
        <v>54</v>
      </c>
      <c r="C1" s="3" t="s">
        <v>55</v>
      </c>
      <c r="D1" s="3" t="s">
        <v>56</v>
      </c>
    </row>
    <row r="2" customFormat="false" ht="15" hidden="false" customHeight="false" outlineLevel="0" collapsed="false">
      <c r="A2" s="4" t="s">
        <v>33</v>
      </c>
      <c r="B2" s="9" t="n">
        <v>25</v>
      </c>
      <c r="C2" s="10" t="n">
        <f aca="false">'Chiffrage lignes vidéo'!D8</f>
        <v>441</v>
      </c>
      <c r="D2" s="10" t="n">
        <f aca="false">B2*C2</f>
        <v>11025</v>
      </c>
    </row>
    <row r="3" customFormat="false" ht="15" hidden="false" customHeight="false" outlineLevel="0" collapsed="false">
      <c r="A3" s="4" t="s">
        <v>40</v>
      </c>
      <c r="B3" s="9" t="n">
        <v>12</v>
      </c>
      <c r="C3" s="10" t="n">
        <f aca="false">'Chiffrage lignes vidéo'!D18</f>
        <v>2257.5</v>
      </c>
      <c r="D3" s="10" t="n">
        <f aca="false">B3*C3</f>
        <v>27090</v>
      </c>
    </row>
    <row r="4" customFormat="false" ht="15" hidden="false" customHeight="false" outlineLevel="0" collapsed="false">
      <c r="A4" s="4" t="s">
        <v>45</v>
      </c>
      <c r="B4" s="9" t="n">
        <v>10</v>
      </c>
      <c r="C4" s="10" t="n">
        <f aca="false">'Chiffrage lignes vidéo'!D33</f>
        <v>3333.5</v>
      </c>
      <c r="D4" s="10" t="n">
        <f aca="false">B4*C4</f>
        <v>33335</v>
      </c>
    </row>
    <row r="5" customFormat="false" ht="15" hidden="false" customHeight="false" outlineLevel="0" collapsed="false">
      <c r="A5" s="12" t="s">
        <v>57</v>
      </c>
      <c r="D5" s="13" t="n">
        <f aca="false">SUM(D2:D4)</f>
        <v>71450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2026-09-08T12:27:35Z</dcterms:created>
  <dc:creator>openpyxl</dc:creator>
  <dc:description/>
  <dc:language>en-US</dc:language>
  <cp:lastModifiedBy/>
  <dcterms:modified xsi:type="dcterms:W3CDTF">2026-09-08T12:27:35Z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