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Coût unitaire - Ligne 8" sheetId="2" state="visible" r:id="rId4"/>
    <sheet name="Coût unitaire - Ligne 9" sheetId="3" state="visible" r:id="rId5"/>
    <sheet name="Coût unitaire - Ligne 10" sheetId="4" state="visible" r:id="rId6"/>
    <sheet name="Récap pour bordereau" sheetId="5" state="visible" r:id="rId7"/>
    <sheet name="Volumes dans le tem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<sst xmlns="http://schemas.openxmlformats.org/spreadsheetml/2006/main" count="116" uniqueCount="83">
  <si>
    <t xml:space="preserve">GRILLE DE COÛTS — Accord-cadre OPCO 2i, Lot 4, brique vidéo (Pôle Audiovisuel L'Étudiant)</t>
  </si>
  <si>
    <t xml:space="preserve">⚠️ DOCUMENT INTERNE — NE PAS TRANSMETTRE AU CLIENT (grille de coûts, sources et référentiels internes). Cellules jaunes = valeurs modifiables (inputs). Cellules blanches = calculées automatiquement. Chiffrage = coût de revient production (HT). Les OPS y appliquent leur marge commerciale pour fixer le 'Prix plafond HT' réellement déclaré dans le bordereau officiel (onglet BPP), seul document transmis au client.</t>
  </si>
  <si>
    <t xml:space="preserve">Poste</t>
  </si>
  <si>
    <t xml:space="preserve">Valeur</t>
  </si>
  <si>
    <t xml:space="preserve">Unité</t>
  </si>
  <si>
    <t xml:space="preserve">Source</t>
  </si>
  <si>
    <t xml:space="preserve">Storyboarder (freelance)</t>
  </si>
  <si>
    <t xml:space="preserve">€/j</t>
  </si>
  <si>
    <t xml:space="preserve">BPU IDFM Grille Coûts Production — Marché pub</t>
  </si>
  <si>
    <t xml:space="preserve">Monteur·se</t>
  </si>
  <si>
    <t xml:space="preserve">BPU IDFM Grille Coûts Production — COMETES / Malt</t>
  </si>
  <si>
    <t xml:space="preserve">Motion designer</t>
  </si>
  <si>
    <t xml:space="preserve">BPU IDFM Grille Coûts Production — Marché pub / Malt</t>
  </si>
  <si>
    <t xml:space="preserve">Cadreur / JRI (image + son, tournage léger 1 lieu)</t>
  </si>
  <si>
    <t xml:space="preserve">Comédien voix off (session)</t>
  </si>
  <si>
    <t xml:space="preserve">€</t>
  </si>
  <si>
    <t xml:space="preserve">BPU IDFM Grille Coûts Production — Marché / CCN</t>
  </si>
  <si>
    <t xml:space="preserve">Taux interne (supervision / coordination)</t>
  </si>
  <si>
    <t xml:space="preserve">Référentiel de Coûts Internes Pôle Audiovisuel — validé Direction</t>
  </si>
  <si>
    <t xml:space="preserve">Kit tournage léger</t>
  </si>
  <si>
    <t xml:space="preserve">BPU IDFM Grille Coûts Production</t>
  </si>
  <si>
    <t xml:space="preserve">Déplacement forfaitaire (1 lieu, équipe légère, moyenne IDF/province)</t>
  </si>
  <si>
    <t xml:space="preserve">Référentiel interne — session CNES/COMETES</t>
  </si>
  <si>
    <t xml:space="preserve">Pilotage (% charge de production)</t>
  </si>
  <si>
    <t xml:space="preserve">%</t>
  </si>
  <si>
    <t xml:space="preserve">BPU IDFM Grille Coûts Production — méthodologie BPU/DQE</t>
  </si>
  <si>
    <t xml:space="preserve">Assurance production (projets avec tournage)</t>
  </si>
  <si>
    <t xml:space="preserve">Provision imprévus (projets avec tournage)</t>
  </si>
  <si>
    <t xml:space="preserve">TVA</t>
  </si>
  <si>
    <t xml:space="preserve">Taux standard</t>
  </si>
  <si>
    <t xml:space="preserve">HYPOTHÈSES — CALENDRIER (répartition dans le temps, aucune donnée contractuelle)</t>
  </si>
  <si>
    <t xml:space="preserve">Durée totale accord-cadre (hypothèse de répartition)</t>
  </si>
  <si>
    <t xml:space="preserve">mois</t>
  </si>
  <si>
    <t xml:space="preserve">Fiche Synthèse AO OPCO2i — 5 mois initiaux + 3 reconductions annuelles</t>
  </si>
  <si>
    <t xml:space="preserve">LIGNE 8 — VIDÉO COURTE VERTICALE 30-60S À PARTIR D'EXISTANT (qté DQE : 25)</t>
  </si>
  <si>
    <t xml:space="preserve">Jours / Quantité</t>
  </si>
  <si>
    <t xml:space="preserve">Taux unitaire</t>
  </si>
  <si>
    <t xml:space="preserve">Coût</t>
  </si>
  <si>
    <t xml:space="preserve">FABRICATION</t>
  </si>
  <si>
    <t xml:space="preserve">Montage</t>
  </si>
  <si>
    <t xml:space="preserve">Habillage / motion léger</t>
  </si>
  <si>
    <t xml:space="preserve">Supervision interne</t>
  </si>
  <si>
    <t xml:space="preserve">Sous-total</t>
  </si>
  <si>
    <t xml:space="preserve">Pilotage</t>
  </si>
  <si>
    <t xml:space="preserve">COÛT DE REVIENT (HT) — forfait</t>
  </si>
  <si>
    <t xml:space="preserve">LIGNE 9 — VIDÉO ÉDITORIALE 2-4MIN SANS TOURNAGE (qté DQE : 12)</t>
  </si>
  <si>
    <t xml:space="preserve">Storyboard</t>
  </si>
  <si>
    <t xml:space="preserve">Montage / motion design</t>
  </si>
  <si>
    <t xml:space="preserve">Habillage / motion design</t>
  </si>
  <si>
    <t xml:space="preserve">Voix off (1 session, si nécessaire)</t>
  </si>
  <si>
    <t xml:space="preserve">LIGNE 10 — VIDÉO ÉDITORIALE 2-4MIN AVEC TOURNAGE, 1 JOUR/1 LIEU (qté DQE : 10)</t>
  </si>
  <si>
    <t xml:space="preserve">Préparation (interne)</t>
  </si>
  <si>
    <t xml:space="preserve">Tournage — Cadreur/JRI (image+son)</t>
  </si>
  <si>
    <t xml:space="preserve">Supervision interne (tournage)</t>
  </si>
  <si>
    <t xml:space="preserve">Déplacement forfaitaire</t>
  </si>
  <si>
    <t xml:space="preserve">Déclinaison courte additionnelle</t>
  </si>
  <si>
    <t xml:space="preserve">Assurance production</t>
  </si>
  <si>
    <t xml:space="preserve">Provision imprévus</t>
  </si>
  <si>
    <t xml:space="preserve">RÉCAP POUR BORDEREAU — Consultation 2026-71, Lot 4 (brique vidéo, lignes 8/9/10)</t>
  </si>
  <si>
    <t xml:space="preserve">Ligne du bordereau officiel</t>
  </si>
  <si>
    <t xml:space="preserve">Qté DQE (non contractuelle)</t>
  </si>
  <si>
    <t xml:space="preserve">Coût de revient HT (forfait)</t>
  </si>
  <si>
    <t xml:space="preserve">Total pondéré (coût × qté)</t>
  </si>
  <si>
    <t xml:space="preserve">Ligne 8 — Vidéo courte verticale 30-60s à partir d'existant (qté DQE : 25)</t>
  </si>
  <si>
    <t xml:space="preserve">Ligne 9 — Vidéo éditoriale 2-4min sans tournage (qté DQE : 12)</t>
  </si>
  <si>
    <t xml:space="preserve">Ligne 10 — Vidéo éditoriale 2-4min avec tournage, 1 jour/1 lieu (qté DQE : 10)</t>
  </si>
  <si>
    <t xml:space="preserve">TOTAL (volume de vidéos &amp; coût de revient, 3 lignes vidéo)</t>
  </si>
  <si>
    <t xml:space="preserve">Note : quantités DQE indicatives, non contractuelles — volontairement majorées par le client. Le Prix plafond HT à déclarer dans le bordereau officiel (onglet BPP) reste à définir par les OPS, en ajoutant leur marge commerciale à ce coût de revient.</t>
  </si>
  <si>
    <t xml:space="preserve">RÉPARTITION DANS LE TEMPS — hypothèse (aucun calendrier de commande connu à ce stade)</t>
  </si>
  <si>
    <t xml:space="preserve">Période</t>
  </si>
  <si>
    <t xml:space="preserve">Durée (mois)</t>
  </si>
  <si>
    <t xml:space="preserve">% durée totale</t>
  </si>
  <si>
    <t xml:space="preserve">Qté Ligne 8</t>
  </si>
  <si>
    <t xml:space="preserve">Qté Ligne 9</t>
  </si>
  <si>
    <t xml:space="preserve">Qté Ligne 10</t>
  </si>
  <si>
    <t xml:space="preserve">Qté totale (toutes lignes)</t>
  </si>
  <si>
    <t xml:space="preserve">Coût de revient total (période)</t>
  </si>
  <si>
    <t xml:space="preserve">Période initiale (jusqu'au 31/03/2027)</t>
  </si>
  <si>
    <t xml:space="preserve">Reconduction 1 (2027-2028)</t>
  </si>
  <si>
    <t xml:space="preserve">Reconduction 2 (2028-2029)</t>
  </si>
  <si>
    <t xml:space="preserve">Reconduction 3 (2029-2030)</t>
  </si>
  <si>
    <t xml:space="preserve">TOTAL</t>
  </si>
  <si>
    <t xml:space="preserve">⚠️ Hypothèse de répartition uniforme sur la durée du contrat — OPCO 2i ne communique aucun calendrier de commande. Les quantités DQE (25/12/10) sont elles-mêmes indicatives et non contractuelles. Ce tableau sert à visualiser un ordre de grandeur de charge par période, pas un engagement de volume.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</si>
</sst>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\(#,##0&quot; €)&quot;;\-"/>
    <numFmt numFmtId="166" formatCode="0.0%"/>
    <numFmt numFmtId="167" formatCode="0"/>
    <numFmt numFmtId="168" formatCode="#,##0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8"/>
      <color rgb="FF888888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2F2F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E0E0E0"/>
        <bgColor rgb="FFF2F2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46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true" outlineLevel="0" collapsed="false">
      <c r="A3" s="4" t="s">
        <v>2</v>
      </c>
      <c r="B3" s="4" t="s">
        <v>3</v>
      </c>
      <c r="C3" s="5" t="s">
        <v>4</v>
      </c>
      <c r="D3" s="5" t="s">
        <v>5</v>
      </c>
    </row>
    <row r="4" customFormat="false" ht="15" hidden="false" customHeight="true" outlineLevel="0" collapsed="false">
      <c r="A4" s="6" t="s">
        <v>6</v>
      </c>
      <c r="B4" s="7" t="n">
        <v>400</v>
      </c>
      <c r="C4" s="8" t="s">
        <v>7</v>
      </c>
      <c r="D4" s="9" t="s">
        <v>8</v>
      </c>
    </row>
    <row r="5" customFormat="false" ht="15" hidden="false" customHeight="true" outlineLevel="0" collapsed="false">
      <c r="A5" s="6" t="s">
        <v>9</v>
      </c>
      <c r="B5" s="7" t="n">
        <v>500</v>
      </c>
      <c r="C5" s="8" t="s">
        <v>7</v>
      </c>
      <c r="D5" s="9" t="s">
        <v>10</v>
      </c>
    </row>
    <row r="6" customFormat="false" ht="15" hidden="false" customHeight="true" outlineLevel="0" collapsed="false">
      <c r="A6" s="6" t="s">
        <v>11</v>
      </c>
      <c r="B6" s="7" t="n">
        <v>600</v>
      </c>
      <c r="C6" s="8" t="s">
        <v>7</v>
      </c>
      <c r="D6" s="9" t="s">
        <v>12</v>
      </c>
    </row>
    <row r="7" customFormat="false" ht="15" hidden="false" customHeight="true" outlineLevel="0" collapsed="false">
      <c r="A7" s="6" t="s">
        <v>13</v>
      </c>
      <c r="B7" s="7" t="n">
        <v>550</v>
      </c>
      <c r="C7" s="8" t="s">
        <v>7</v>
      </c>
      <c r="D7" s="9" t="s">
        <v>10</v>
      </c>
    </row>
    <row r="8" customFormat="false" ht="15" hidden="false" customHeight="true" outlineLevel="0" collapsed="false">
      <c r="A8" s="6" t="s">
        <v>14</v>
      </c>
      <c r="B8" s="7" t="n">
        <v>450</v>
      </c>
      <c r="C8" s="8" t="s">
        <v>15</v>
      </c>
      <c r="D8" s="9" t="s">
        <v>16</v>
      </c>
    </row>
    <row r="9" customFormat="false" ht="15" hidden="false" customHeight="true" outlineLevel="0" collapsed="false">
      <c r="A9" s="6" t="s">
        <v>17</v>
      </c>
      <c r="B9" s="7" t="n">
        <v>200</v>
      </c>
      <c r="C9" s="8" t="s">
        <v>7</v>
      </c>
      <c r="D9" s="9" t="s">
        <v>18</v>
      </c>
    </row>
    <row r="10" customFormat="false" ht="15" hidden="false" customHeight="true" outlineLevel="0" collapsed="false">
      <c r="A10" s="6" t="s">
        <v>19</v>
      </c>
      <c r="B10" s="7" t="n">
        <v>300</v>
      </c>
      <c r="C10" s="8" t="s">
        <v>7</v>
      </c>
      <c r="D10" s="9" t="s">
        <v>20</v>
      </c>
    </row>
    <row r="11" customFormat="false" ht="15" hidden="false" customHeight="true" outlineLevel="0" collapsed="false">
      <c r="A11" s="6" t="s">
        <v>21</v>
      </c>
      <c r="B11" s="7" t="n">
        <v>400</v>
      </c>
      <c r="C11" s="8" t="s">
        <v>15</v>
      </c>
      <c r="D11" s="9" t="s">
        <v>22</v>
      </c>
    </row>
    <row r="12" customFormat="false" ht="15" hidden="false" customHeight="true" outlineLevel="0" collapsed="false">
      <c r="A12" s="6" t="s">
        <v>23</v>
      </c>
      <c r="B12" s="10" t="n">
        <v>0.05</v>
      </c>
      <c r="C12" s="8" t="s">
        <v>24</v>
      </c>
      <c r="D12" s="9" t="s">
        <v>25</v>
      </c>
    </row>
    <row r="13" customFormat="false" ht="15" hidden="false" customHeight="true" outlineLevel="0" collapsed="false">
      <c r="A13" s="6" t="s">
        <v>26</v>
      </c>
      <c r="B13" s="10" t="n">
        <v>0.03</v>
      </c>
      <c r="C13" s="8" t="s">
        <v>24</v>
      </c>
      <c r="D13" s="9" t="s">
        <v>20</v>
      </c>
    </row>
    <row r="14" customFormat="false" ht="15" hidden="false" customHeight="true" outlineLevel="0" collapsed="false">
      <c r="A14" s="6" t="s">
        <v>27</v>
      </c>
      <c r="B14" s="10" t="n">
        <v>0.05</v>
      </c>
      <c r="C14" s="8" t="s">
        <v>24</v>
      </c>
      <c r="D14" s="9" t="s">
        <v>20</v>
      </c>
    </row>
    <row r="15" customFormat="false" ht="15" hidden="false" customHeight="true" outlineLevel="0" collapsed="false">
      <c r="A15" s="6" t="s">
        <v>28</v>
      </c>
      <c r="B15" s="10" t="n">
        <v>0.2</v>
      </c>
      <c r="C15" s="8" t="s">
        <v>24</v>
      </c>
      <c r="D15" s="9" t="s">
        <v>29</v>
      </c>
    </row>
    <row r="16" customFormat="false" ht="15" hidden="false" customHeight="true" outlineLevel="0" collapsed="false">
      <c r="A16" s="11"/>
      <c r="B16" s="11"/>
      <c r="C16" s="11"/>
      <c r="D16" s="11"/>
    </row>
    <row r="17" customFormat="false" ht="15" hidden="false" customHeight="true" outlineLevel="0" collapsed="false">
      <c r="A17" s="12" t="s">
        <v>30</v>
      </c>
      <c r="B17" s="13"/>
      <c r="C17" s="13"/>
      <c r="D17" s="13"/>
    </row>
    <row r="18" customFormat="false" ht="15" hidden="false" customHeight="true" outlineLevel="0" collapsed="false">
      <c r="A18" s="6" t="s">
        <v>31</v>
      </c>
      <c r="B18" s="14" t="n">
        <v>41</v>
      </c>
      <c r="C18" s="8" t="s">
        <v>32</v>
      </c>
      <c r="D18" s="9" t="s">
        <v>33</v>
      </c>
    </row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4" min="3" style="1" width="14"/>
  </cols>
  <sheetData>
    <row r="1" customFormat="false" ht="30" hidden="false" customHeight="true" outlineLevel="0" collapsed="false">
      <c r="A1" s="2" t="s">
        <v>34</v>
      </c>
      <c r="B1" s="2"/>
      <c r="C1" s="2"/>
      <c r="D1" s="2"/>
    </row>
    <row r="2" customFormat="false" ht="15" hidden="false" customHeight="true" outlineLevel="0" collapsed="false">
      <c r="A2" s="4" t="s">
        <v>2</v>
      </c>
      <c r="B2" s="4" t="s">
        <v>35</v>
      </c>
      <c r="C2" s="5" t="s">
        <v>36</v>
      </c>
      <c r="D2" s="5" t="s">
        <v>37</v>
      </c>
    </row>
    <row r="3" customFormat="false" ht="15" hidden="false" customHeight="true" outlineLevel="0" collapsed="false">
      <c r="A3" s="12" t="s">
        <v>38</v>
      </c>
      <c r="B3" s="13"/>
      <c r="C3" s="13"/>
      <c r="D3" s="13"/>
    </row>
    <row r="4" customFormat="false" ht="15" hidden="false" customHeight="true" outlineLevel="0" collapsed="false">
      <c r="A4" s="6" t="s">
        <v>39</v>
      </c>
      <c r="B4" s="15" t="n">
        <v>0.5</v>
      </c>
      <c r="C4" s="16" t="n">
        <f aca="false">Hypothèses!$B$5</f>
        <v>500</v>
      </c>
      <c r="D4" s="16" t="n">
        <f aca="false">B4*C4</f>
        <v>250</v>
      </c>
    </row>
    <row r="5" customFormat="false" ht="15" hidden="false" customHeight="true" outlineLevel="0" collapsed="false">
      <c r="A5" s="6" t="s">
        <v>40</v>
      </c>
      <c r="B5" s="15" t="n">
        <v>0.25</v>
      </c>
      <c r="C5" s="16" t="n">
        <f aca="false">Hypothèses!$B$6</f>
        <v>600</v>
      </c>
      <c r="D5" s="16" t="n">
        <f aca="false">B5*C5</f>
        <v>150</v>
      </c>
    </row>
    <row r="6" customFormat="false" ht="15" hidden="false" customHeight="true" outlineLevel="0" collapsed="false">
      <c r="A6" s="6" t="s">
        <v>41</v>
      </c>
      <c r="B6" s="15" t="n">
        <v>0.1</v>
      </c>
      <c r="C6" s="16" t="n">
        <f aca="false">Hypothèses!$B$9</f>
        <v>200</v>
      </c>
      <c r="D6" s="16" t="n">
        <f aca="false">B6*C6</f>
        <v>20</v>
      </c>
    </row>
    <row r="7" customFormat="false" ht="15" hidden="false" customHeight="true" outlineLevel="0" collapsed="false">
      <c r="A7" s="17" t="s">
        <v>42</v>
      </c>
      <c r="B7" s="13"/>
      <c r="C7" s="13"/>
      <c r="D7" s="18" t="n">
        <f aca="false">SUM(D4:D6)</f>
        <v>420</v>
      </c>
    </row>
    <row r="8" customFormat="false" ht="15" hidden="false" customHeight="true" outlineLevel="0" collapsed="false">
      <c r="A8" s="6" t="s">
        <v>43</v>
      </c>
      <c r="B8" s="11"/>
      <c r="C8" s="19" t="n">
        <f aca="false">Hypothèses!$B$12</f>
        <v>0.05</v>
      </c>
      <c r="D8" s="16" t="n">
        <f aca="false">D7*C8</f>
        <v>21</v>
      </c>
    </row>
    <row r="9" customFormat="false" ht="15" hidden="false" customHeight="true" outlineLevel="0" collapsed="false">
      <c r="A9" s="17" t="s">
        <v>44</v>
      </c>
      <c r="B9" s="13"/>
      <c r="C9" s="13"/>
      <c r="D9" s="18" t="n">
        <f aca="false">D7+D8</f>
        <v>441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4" min="3" style="1" width="14"/>
  </cols>
  <sheetData>
    <row r="1" customFormat="false" ht="30" hidden="false" customHeight="true" outlineLevel="0" collapsed="false">
      <c r="A1" s="2" t="s">
        <v>45</v>
      </c>
      <c r="B1" s="2"/>
      <c r="C1" s="2"/>
      <c r="D1" s="2"/>
    </row>
    <row r="2" customFormat="false" ht="15" hidden="false" customHeight="true" outlineLevel="0" collapsed="false">
      <c r="A2" s="4" t="s">
        <v>2</v>
      </c>
      <c r="B2" s="4" t="s">
        <v>35</v>
      </c>
      <c r="C2" s="5" t="s">
        <v>36</v>
      </c>
      <c r="D2" s="5" t="s">
        <v>37</v>
      </c>
    </row>
    <row r="3" customFormat="false" ht="15" hidden="false" customHeight="true" outlineLevel="0" collapsed="false">
      <c r="A3" s="12" t="s">
        <v>38</v>
      </c>
      <c r="B3" s="13"/>
      <c r="C3" s="13"/>
      <c r="D3" s="13"/>
    </row>
    <row r="4" customFormat="false" ht="15" hidden="false" customHeight="true" outlineLevel="0" collapsed="false">
      <c r="A4" s="6" t="s">
        <v>46</v>
      </c>
      <c r="B4" s="15" t="n">
        <v>0.75</v>
      </c>
      <c r="C4" s="16" t="n">
        <f aca="false">Hypothèses!$B$4</f>
        <v>400</v>
      </c>
      <c r="D4" s="16" t="n">
        <f aca="false">B4*C4</f>
        <v>300</v>
      </c>
    </row>
    <row r="5" customFormat="false" ht="15" hidden="false" customHeight="true" outlineLevel="0" collapsed="false">
      <c r="A5" s="6" t="s">
        <v>47</v>
      </c>
      <c r="B5" s="15" t="n">
        <v>1.5</v>
      </c>
      <c r="C5" s="16" t="n">
        <f aca="false">Hypothèses!$B$5</f>
        <v>500</v>
      </c>
      <c r="D5" s="16" t="n">
        <f aca="false">B5*C5</f>
        <v>750</v>
      </c>
    </row>
    <row r="6" customFormat="false" ht="15" hidden="false" customHeight="true" outlineLevel="0" collapsed="false">
      <c r="A6" s="6" t="s">
        <v>48</v>
      </c>
      <c r="B6" s="15" t="n">
        <v>1</v>
      </c>
      <c r="C6" s="16" t="n">
        <f aca="false">Hypothèses!$B$6</f>
        <v>600</v>
      </c>
      <c r="D6" s="16" t="n">
        <f aca="false">B6*C6</f>
        <v>600</v>
      </c>
    </row>
    <row r="7" customFormat="false" ht="15" hidden="false" customHeight="true" outlineLevel="0" collapsed="false">
      <c r="A7" s="6" t="s">
        <v>49</v>
      </c>
      <c r="B7" s="15" t="n">
        <v>1</v>
      </c>
      <c r="C7" s="16" t="n">
        <f aca="false">Hypothèses!$B$8</f>
        <v>450</v>
      </c>
      <c r="D7" s="16" t="n">
        <f aca="false">B7*C7</f>
        <v>450</v>
      </c>
    </row>
    <row r="8" customFormat="false" ht="15" hidden="false" customHeight="true" outlineLevel="0" collapsed="false">
      <c r="A8" s="6" t="s">
        <v>41</v>
      </c>
      <c r="B8" s="15" t="n">
        <v>0.25</v>
      </c>
      <c r="C8" s="16" t="n">
        <f aca="false">Hypothèses!$B$9</f>
        <v>200</v>
      </c>
      <c r="D8" s="16" t="n">
        <f aca="false">B8*C8</f>
        <v>50</v>
      </c>
    </row>
    <row r="9" customFormat="false" ht="15" hidden="false" customHeight="true" outlineLevel="0" collapsed="false">
      <c r="A9" s="17" t="s">
        <v>42</v>
      </c>
      <c r="B9" s="13"/>
      <c r="C9" s="13"/>
      <c r="D9" s="18" t="n">
        <f aca="false">SUM(D4:D8)</f>
        <v>2150</v>
      </c>
    </row>
    <row r="10" customFormat="false" ht="15" hidden="false" customHeight="true" outlineLevel="0" collapsed="false">
      <c r="A10" s="6" t="s">
        <v>43</v>
      </c>
      <c r="B10" s="11"/>
      <c r="C10" s="19" t="n">
        <f aca="false">Hypothèses!$B$12</f>
        <v>0.05</v>
      </c>
      <c r="D10" s="16" t="n">
        <f aca="false">D9*C10</f>
        <v>107.5</v>
      </c>
    </row>
    <row r="11" customFormat="false" ht="15" hidden="false" customHeight="true" outlineLevel="0" collapsed="false">
      <c r="A11" s="17" t="s">
        <v>44</v>
      </c>
      <c r="B11" s="13"/>
      <c r="C11" s="13"/>
      <c r="D11" s="18" t="n">
        <f aca="false">D9+D10</f>
        <v>2257.5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4" min="3" style="1" width="14"/>
  </cols>
  <sheetData>
    <row r="1" customFormat="false" ht="30" hidden="false" customHeight="true" outlineLevel="0" collapsed="false">
      <c r="A1" s="2" t="s">
        <v>50</v>
      </c>
      <c r="B1" s="2"/>
      <c r="C1" s="2"/>
      <c r="D1" s="2"/>
    </row>
    <row r="2" customFormat="false" ht="15" hidden="false" customHeight="true" outlineLevel="0" collapsed="false">
      <c r="A2" s="4" t="s">
        <v>2</v>
      </c>
      <c r="B2" s="4" t="s">
        <v>35</v>
      </c>
      <c r="C2" s="5" t="s">
        <v>36</v>
      </c>
      <c r="D2" s="5" t="s">
        <v>37</v>
      </c>
    </row>
    <row r="3" customFormat="false" ht="15" hidden="false" customHeight="true" outlineLevel="0" collapsed="false">
      <c r="A3" s="12" t="s">
        <v>38</v>
      </c>
      <c r="B3" s="13"/>
      <c r="C3" s="13"/>
      <c r="D3" s="13"/>
    </row>
    <row r="4" customFormat="false" ht="15" hidden="false" customHeight="true" outlineLevel="0" collapsed="false">
      <c r="A4" s="6" t="s">
        <v>51</v>
      </c>
      <c r="B4" s="15" t="n">
        <v>0.5</v>
      </c>
      <c r="C4" s="16" t="n">
        <f aca="false">Hypothèses!$B$9</f>
        <v>200</v>
      </c>
      <c r="D4" s="16" t="n">
        <f aca="false">B4*C4</f>
        <v>100</v>
      </c>
    </row>
    <row r="5" customFormat="false" ht="15" hidden="false" customHeight="true" outlineLevel="0" collapsed="false">
      <c r="A5" s="6" t="s">
        <v>52</v>
      </c>
      <c r="B5" s="15" t="n">
        <v>1</v>
      </c>
      <c r="C5" s="16" t="n">
        <f aca="false">Hypothèses!$B$7</f>
        <v>550</v>
      </c>
      <c r="D5" s="16" t="n">
        <f aca="false">B5*C5</f>
        <v>550</v>
      </c>
    </row>
    <row r="6" customFormat="false" ht="15" hidden="false" customHeight="true" outlineLevel="0" collapsed="false">
      <c r="A6" s="6" t="s">
        <v>53</v>
      </c>
      <c r="B6" s="15" t="n">
        <v>0.25</v>
      </c>
      <c r="C6" s="16" t="n">
        <f aca="false">Hypothèses!$B$9</f>
        <v>200</v>
      </c>
      <c r="D6" s="16" t="n">
        <f aca="false">B6*C6</f>
        <v>50</v>
      </c>
    </row>
    <row r="7" customFormat="false" ht="15" hidden="false" customHeight="true" outlineLevel="0" collapsed="false">
      <c r="A7" s="6" t="s">
        <v>19</v>
      </c>
      <c r="B7" s="15" t="n">
        <v>1</v>
      </c>
      <c r="C7" s="16" t="n">
        <f aca="false">Hypothèses!$B$10</f>
        <v>300</v>
      </c>
      <c r="D7" s="16" t="n">
        <f aca="false">B7*C7</f>
        <v>300</v>
      </c>
    </row>
    <row r="8" customFormat="false" ht="15" hidden="false" customHeight="true" outlineLevel="0" collapsed="false">
      <c r="A8" s="6" t="s">
        <v>54</v>
      </c>
      <c r="B8" s="15" t="n">
        <v>1</v>
      </c>
      <c r="C8" s="16" t="n">
        <f aca="false">Hypothèses!$B$11</f>
        <v>400</v>
      </c>
      <c r="D8" s="16" t="n">
        <f aca="false">B8*C8</f>
        <v>400</v>
      </c>
    </row>
    <row r="9" customFormat="false" ht="15" hidden="false" customHeight="true" outlineLevel="0" collapsed="false">
      <c r="A9" s="6" t="s">
        <v>39</v>
      </c>
      <c r="B9" s="15" t="n">
        <v>2</v>
      </c>
      <c r="C9" s="16" t="n">
        <f aca="false">Hypothèses!$B$5</f>
        <v>500</v>
      </c>
      <c r="D9" s="16" t="n">
        <f aca="false">B9*C9</f>
        <v>1000</v>
      </c>
    </row>
    <row r="10" customFormat="false" ht="15" hidden="false" customHeight="true" outlineLevel="0" collapsed="false">
      <c r="A10" s="6" t="s">
        <v>48</v>
      </c>
      <c r="B10" s="15" t="n">
        <v>0.5</v>
      </c>
      <c r="C10" s="16" t="n">
        <f aca="false">Hypothèses!$B$6</f>
        <v>600</v>
      </c>
      <c r="D10" s="16" t="n">
        <f aca="false">B10*C10</f>
        <v>300</v>
      </c>
    </row>
    <row r="11" customFormat="false" ht="15" hidden="false" customHeight="true" outlineLevel="0" collapsed="false">
      <c r="A11" s="6" t="s">
        <v>55</v>
      </c>
      <c r="B11" s="15" t="n">
        <v>0.5</v>
      </c>
      <c r="C11" s="16" t="n">
        <f aca="false">Hypothèses!$B$5</f>
        <v>500</v>
      </c>
      <c r="D11" s="16" t="n">
        <f aca="false">B11*C11</f>
        <v>250</v>
      </c>
    </row>
    <row r="12" customFormat="false" ht="15" hidden="false" customHeight="true" outlineLevel="0" collapsed="false">
      <c r="A12" s="17" t="s">
        <v>42</v>
      </c>
      <c r="B12" s="13"/>
      <c r="C12" s="13"/>
      <c r="D12" s="18" t="n">
        <f aca="false">SUM(D4:D11)</f>
        <v>2950</v>
      </c>
    </row>
    <row r="13" customFormat="false" ht="15" hidden="false" customHeight="true" outlineLevel="0" collapsed="false">
      <c r="A13" s="6" t="s">
        <v>43</v>
      </c>
      <c r="B13" s="11"/>
      <c r="C13" s="19" t="n">
        <f aca="false">Hypothèses!$B$12</f>
        <v>0.05</v>
      </c>
      <c r="D13" s="16" t="n">
        <f aca="false">D12*C13</f>
        <v>147.5</v>
      </c>
    </row>
    <row r="14" customFormat="false" ht="15" hidden="false" customHeight="true" outlineLevel="0" collapsed="false">
      <c r="A14" s="6" t="s">
        <v>56</v>
      </c>
      <c r="B14" s="11"/>
      <c r="C14" s="19" t="n">
        <f aca="false">Hypothèses!$B$13</f>
        <v>0.03</v>
      </c>
      <c r="D14" s="16" t="n">
        <f aca="false">D12*C14</f>
        <v>88.5</v>
      </c>
    </row>
    <row r="15" customFormat="false" ht="15" hidden="false" customHeight="true" outlineLevel="0" collapsed="false">
      <c r="A15" s="6" t="s">
        <v>57</v>
      </c>
      <c r="B15" s="11"/>
      <c r="C15" s="19" t="n">
        <f aca="false">Hypothèses!$B$14</f>
        <v>0.05</v>
      </c>
      <c r="D15" s="16" t="n">
        <f aca="false">D12*C15</f>
        <v>147.5</v>
      </c>
    </row>
    <row r="16" customFormat="false" ht="15" hidden="false" customHeight="true" outlineLevel="0" collapsed="false">
      <c r="A16" s="17" t="s">
        <v>44</v>
      </c>
      <c r="B16" s="13"/>
      <c r="C16" s="13"/>
      <c r="D16" s="18" t="n">
        <f aca="false">D12+D13+D14+D15</f>
        <v>3333.5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4" min="2" style="1" width="20"/>
  </cols>
  <sheetData>
    <row r="1" customFormat="false" ht="30" hidden="false" customHeight="true" outlineLevel="0" collapsed="false">
      <c r="A1" s="2" t="s">
        <v>58</v>
      </c>
      <c r="B1" s="2"/>
      <c r="C1" s="2"/>
      <c r="D1" s="2"/>
    </row>
    <row r="2" customFormat="false" ht="15" hidden="false" customHeight="true" outlineLevel="0" collapsed="false">
      <c r="A2" s="4" t="s">
        <v>59</v>
      </c>
      <c r="B2" s="4" t="s">
        <v>60</v>
      </c>
      <c r="C2" s="5" t="s">
        <v>61</v>
      </c>
      <c r="D2" s="5" t="s">
        <v>62</v>
      </c>
    </row>
    <row r="3" customFormat="false" ht="15" hidden="false" customHeight="true" outlineLevel="0" collapsed="false">
      <c r="A3" s="6" t="s">
        <v>63</v>
      </c>
      <c r="B3" s="15" t="n">
        <v>25</v>
      </c>
      <c r="C3" s="16" t="n">
        <f aca="false">'Coût unitaire - Ligne 8'!D9</f>
        <v>441</v>
      </c>
      <c r="D3" s="16" t="n">
        <f aca="false">B3*C3</f>
        <v>11025</v>
      </c>
    </row>
    <row r="4" customFormat="false" ht="15" hidden="false" customHeight="true" outlineLevel="0" collapsed="false">
      <c r="A4" s="6" t="s">
        <v>64</v>
      </c>
      <c r="B4" s="15" t="n">
        <v>12</v>
      </c>
      <c r="C4" s="16" t="n">
        <f aca="false">'Coût unitaire - Ligne 9'!D11</f>
        <v>2257.5</v>
      </c>
      <c r="D4" s="16" t="n">
        <f aca="false">B4*C4</f>
        <v>27090</v>
      </c>
    </row>
    <row r="5" customFormat="false" ht="15" hidden="false" customHeight="true" outlineLevel="0" collapsed="false">
      <c r="A5" s="6" t="s">
        <v>65</v>
      </c>
      <c r="B5" s="15" t="n">
        <v>10</v>
      </c>
      <c r="C5" s="16" t="n">
        <f aca="false">'Coût unitaire - Ligne 10'!D16</f>
        <v>3333.5</v>
      </c>
      <c r="D5" s="16" t="n">
        <f aca="false">B5*C5</f>
        <v>33335</v>
      </c>
    </row>
    <row r="6" customFormat="false" ht="15" hidden="false" customHeight="true" outlineLevel="0" collapsed="false">
      <c r="A6" s="17" t="s">
        <v>66</v>
      </c>
      <c r="B6" s="20" t="n">
        <f aca="false">SUM(B3:B5)</f>
        <v>47</v>
      </c>
      <c r="C6" s="13"/>
      <c r="D6" s="18" t="n">
        <f aca="false">SUM(D3:D5)</f>
        <v>71450</v>
      </c>
    </row>
    <row r="7" customFormat="false" ht="15" hidden="false" customHeight="true" outlineLevel="0" collapsed="false">
      <c r="A7" s="11"/>
      <c r="B7" s="11"/>
      <c r="C7" s="11"/>
      <c r="D7" s="11"/>
    </row>
    <row r="8" customFormat="false" ht="15" hidden="false" customHeight="true" outlineLevel="0" collapsed="false">
      <c r="A8" s="21" t="s">
        <v>67</v>
      </c>
      <c r="B8" s="21"/>
      <c r="C8" s="21"/>
      <c r="D8" s="21"/>
    </row>
  </sheetData>
  <mergeCells count="2">
    <mergeCell ref="A1:D1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4"/>
    <col collapsed="false" customWidth="true" hidden="false" outlineLevel="0" max="8" min="8" style="1" width="22"/>
  </cols>
  <sheetData>
    <row r="1" customFormat="false" ht="30" hidden="false" customHeight="true" outlineLevel="0" collapsed="false">
      <c r="A1" s="2" t="s">
        <v>68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4" t="s">
        <v>69</v>
      </c>
      <c r="B2" s="4" t="s">
        <v>70</v>
      </c>
      <c r="C2" s="4" t="s">
        <v>71</v>
      </c>
      <c r="D2" s="4" t="s">
        <v>72</v>
      </c>
      <c r="E2" s="4" t="s">
        <v>73</v>
      </c>
      <c r="F2" s="4" t="s">
        <v>74</v>
      </c>
      <c r="G2" s="4" t="s">
        <v>75</v>
      </c>
      <c r="H2" s="4" t="s">
        <v>76</v>
      </c>
    </row>
    <row r="3" customFormat="false" ht="15" hidden="false" customHeight="true" outlineLevel="0" collapsed="false">
      <c r="A3" s="6" t="s">
        <v>77</v>
      </c>
      <c r="B3" s="15" t="n">
        <v>5</v>
      </c>
      <c r="C3" s="22" t="n">
        <f aca="false">B3/Hypothèses!$B$18</f>
        <v>0.121951219512195</v>
      </c>
      <c r="D3" s="23" t="n">
        <f aca="false">$C3*25</f>
        <v>3.04878048780488</v>
      </c>
      <c r="E3" s="23" t="n">
        <f aca="false">$C3*12</f>
        <v>1.46341463414634</v>
      </c>
      <c r="F3" s="23" t="n">
        <f aca="false">$C3*10</f>
        <v>1.21951219512195</v>
      </c>
      <c r="G3" s="23" t="n">
        <f aca="false">D3+E3+F3</f>
        <v>5.73170731707317</v>
      </c>
      <c r="H3" s="16" t="n">
        <f aca="false">D3*'Récap pour bordereau'!$C$3+E3*'Récap pour bordereau'!$C$4+F3*'Récap pour bordereau'!$C$5</f>
        <v>8713.41463414634</v>
      </c>
    </row>
    <row r="4" customFormat="false" ht="15" hidden="false" customHeight="true" outlineLevel="0" collapsed="false">
      <c r="A4" s="6" t="s">
        <v>78</v>
      </c>
      <c r="B4" s="15" t="n">
        <v>12</v>
      </c>
      <c r="C4" s="22" t="n">
        <f aca="false">B4/Hypothèses!$B$18</f>
        <v>0.292682926829268</v>
      </c>
      <c r="D4" s="23" t="n">
        <f aca="false">$C4*25</f>
        <v>7.31707317073171</v>
      </c>
      <c r="E4" s="23" t="n">
        <f aca="false">$C4*12</f>
        <v>3.51219512195122</v>
      </c>
      <c r="F4" s="23" t="n">
        <f aca="false">$C4*10</f>
        <v>2.92682926829268</v>
      </c>
      <c r="G4" s="23" t="n">
        <f aca="false">D4+E4+F4</f>
        <v>13.7560975609756</v>
      </c>
      <c r="H4" s="16" t="n">
        <f aca="false">D4*'Récap pour bordereau'!$C$3+E4*'Récap pour bordereau'!$C$4+F4*'Récap pour bordereau'!$C$5</f>
        <v>20912.1951219512</v>
      </c>
    </row>
    <row r="5" customFormat="false" ht="15" hidden="false" customHeight="true" outlineLevel="0" collapsed="false">
      <c r="A5" s="6" t="s">
        <v>79</v>
      </c>
      <c r="B5" s="15" t="n">
        <v>12</v>
      </c>
      <c r="C5" s="22" t="n">
        <f aca="false">B5/Hypothèses!$B$18</f>
        <v>0.292682926829268</v>
      </c>
      <c r="D5" s="23" t="n">
        <f aca="false">$C5*25</f>
        <v>7.31707317073171</v>
      </c>
      <c r="E5" s="23" t="n">
        <f aca="false">$C5*12</f>
        <v>3.51219512195122</v>
      </c>
      <c r="F5" s="23" t="n">
        <f aca="false">$C5*10</f>
        <v>2.92682926829268</v>
      </c>
      <c r="G5" s="23" t="n">
        <f aca="false">D5+E5+F5</f>
        <v>13.7560975609756</v>
      </c>
      <c r="H5" s="16" t="n">
        <f aca="false">D5*'Récap pour bordereau'!$C$3+E5*'Récap pour bordereau'!$C$4+F5*'Récap pour bordereau'!$C$5</f>
        <v>20912.1951219512</v>
      </c>
    </row>
    <row r="6" customFormat="false" ht="15" hidden="false" customHeight="true" outlineLevel="0" collapsed="false">
      <c r="A6" s="6" t="s">
        <v>80</v>
      </c>
      <c r="B6" s="15" t="n">
        <v>12</v>
      </c>
      <c r="C6" s="22" t="n">
        <f aca="false">B6/Hypothèses!$B$18</f>
        <v>0.292682926829268</v>
      </c>
      <c r="D6" s="23" t="n">
        <f aca="false">$C6*25</f>
        <v>7.31707317073171</v>
      </c>
      <c r="E6" s="23" t="n">
        <f aca="false">$C6*12</f>
        <v>3.51219512195122</v>
      </c>
      <c r="F6" s="23" t="n">
        <f aca="false">$C6*10</f>
        <v>2.92682926829268</v>
      </c>
      <c r="G6" s="23" t="n">
        <f aca="false">D6+E6+F6</f>
        <v>13.7560975609756</v>
      </c>
      <c r="H6" s="16" t="n">
        <f aca="false">D6*'Récap pour bordereau'!$C$3+E6*'Récap pour bordereau'!$C$4+F6*'Récap pour bordereau'!$C$5</f>
        <v>20912.1951219512</v>
      </c>
    </row>
    <row r="7" customFormat="false" ht="15" hidden="false" customHeight="true" outlineLevel="0" collapsed="false">
      <c r="A7" s="17" t="s">
        <v>81</v>
      </c>
      <c r="B7" s="24" t="n">
        <f aca="false">SUM(B3:B6)</f>
        <v>41</v>
      </c>
      <c r="C7" s="25" t="n">
        <f aca="false">SUM(C3:C6)</f>
        <v>1</v>
      </c>
      <c r="D7" s="26" t="n">
        <f aca="false">SUM(D3:D6)</f>
        <v>25</v>
      </c>
      <c r="E7" s="26" t="n">
        <f aca="false">SUM(E3:E6)</f>
        <v>12</v>
      </c>
      <c r="F7" s="26" t="n">
        <f aca="false">SUM(F3:F6)</f>
        <v>10</v>
      </c>
      <c r="G7" s="26" t="n">
        <f aca="false">SUM(G3:G6)</f>
        <v>47</v>
      </c>
      <c r="H7" s="18" t="n">
        <f aca="false">SUM(H3:H6)</f>
        <v>71450</v>
      </c>
    </row>
    <row r="8" customFormat="false" ht="15" hidden="false" customHeight="true" outlineLevel="0" collapsed="false">
      <c r="A8" s="11"/>
      <c r="B8" s="11"/>
      <c r="C8" s="11"/>
      <c r="D8" s="11"/>
      <c r="E8" s="11"/>
      <c r="F8" s="11"/>
      <c r="G8" s="11"/>
    </row>
    <row r="9" customFormat="false" ht="15" hidden="false" customHeight="true" outlineLevel="0" collapsed="false">
      <c r="A9" s="21" t="s">
        <v>82</v>
      </c>
      <c r="B9" s="21"/>
      <c r="C9" s="21"/>
      <c r="D9" s="21"/>
      <c r="E9" s="21"/>
      <c r="F9" s="21"/>
      <c r="G9" s="21"/>
      <c r="H9" s="21"/>
    </row>
  </sheetData>
  <mergeCells count="2">
    <mergeCell ref="A1:H1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2026-09-21T12:28:51Z</dcterms:created>
  <dc:creator>openpyxl</dc:creator>
  <dc:description/>
  <dc:language>en-US</dc:language>
  <cp:lastModifiedBy/>
  <dcterms:modified xsi:type="dcterms:W3CDTF">2026-09-21T12:53:23Z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