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BPU - Grille de prix" sheetId="2" state="visible" r:id="rId4"/>
    <sheet name="Récapitulatif DQ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<sst xmlns="http://schemas.openxmlformats.org/spreadsheetml/2006/main" count="200" uniqueCount="91">
  <si>
    <t xml:space="preserve">LÉGENDE : cellules bleues = valeurs modifiables (inputs) — cellules noires = formules.</t>
  </si>
  <si>
    <t xml:space="preserve">Scénario HYBRIDE : réseau de prestataires locaux (Toulouse) pour les prestations réactives/légères (U1, U3, U8) — à construire avant le 30/09 — et équipe parisienne pour les productions plus lourdes (U2, U5, U6).</t>
  </si>
  <si>
    <t xml:space="preserve">Poste</t>
  </si>
  <si>
    <t xml:space="preserve">Valeur</t>
  </si>
  <si>
    <t xml:space="preserve">Unité</t>
  </si>
  <si>
    <t xml:space="preserve">Source</t>
  </si>
  <si>
    <t xml:space="preserve">Réalisateur (pub/institutionnel)</t>
  </si>
  <si>
    <t xml:space="preserve">€/j</t>
  </si>
  <si>
    <t xml:space="preserve">BPU IDFM Grille Coûts Production — SPIAC / Marché pub</t>
  </si>
  <si>
    <t xml:space="preserve">Cadreur / JRI (chef opérateur)</t>
  </si>
  <si>
    <t xml:space="preserve">BPU IDFM Grille Coûts Production — COMETES / Malt</t>
  </si>
  <si>
    <t xml:space="preserve">Chef OPS / Ingénieur du son</t>
  </si>
  <si>
    <t xml:space="preserve">BPU IDFM Grille Coûts Production — COMETES / CCPA</t>
  </si>
  <si>
    <t xml:space="preserve">Assistant·e de production (régie)</t>
  </si>
  <si>
    <t xml:space="preserve">BPU IDFM Grille Coûts Production — COMETES</t>
  </si>
  <si>
    <t xml:space="preserve">Monteur·se</t>
  </si>
  <si>
    <t xml:space="preserve">Étalonneur·se</t>
  </si>
  <si>
    <t xml:space="preserve">Mixeur·se</t>
  </si>
  <si>
    <t xml:space="preserve">Motion designer</t>
  </si>
  <si>
    <t xml:space="preserve">BPU IDFM Grille Coûts Production — Marché pub / Malt</t>
  </si>
  <si>
    <t xml:space="preserve">Storyboarder (freelance)</t>
  </si>
  <si>
    <t xml:space="preserve">BPU IDFM Grille Coûts Production — Marché pub</t>
  </si>
  <si>
    <t xml:space="preserve">Journaliste / accompagnement éditorial</t>
  </si>
  <si>
    <t xml:space="preserve">BPU IDFM Grille Coûts Production — Concepteur-Rédacteur, Marché/Malt</t>
  </si>
  <si>
    <t xml:space="preserve">Taux interne (supervision / coordination)</t>
  </si>
  <si>
    <t xml:space="preserve">Référentiel de Coûts Internes Pôle Audiovisuel — validé Direction</t>
  </si>
  <si>
    <t xml:space="preserve">Cadreur/JRI LOCAL Toulouse (réseau à construire)</t>
  </si>
  <si>
    <t xml:space="preserve">HYPOTHÈSE — même TJM que Paris faute de données locales, à ajuster une fois le réseau identifié</t>
  </si>
  <si>
    <t xml:space="preserve">Kit tournage léger</t>
  </si>
  <si>
    <t xml:space="preserve">BPU IDFM Grille Coûts Production</t>
  </si>
  <si>
    <t xml:space="preserve">Kit tournage intermédiaire</t>
  </si>
  <si>
    <t xml:space="preserve">Déplacement Paris-Toulouse — équipe légère (2-3 pers., A/R + 1 nuit hôtel)</t>
  </si>
  <si>
    <t xml:space="preserve">€</t>
  </si>
  <si>
    <t xml:space="preserve">ESTIMATION — train + hôtel, à vérifier avant chiffrage définitif</t>
  </si>
  <si>
    <t xml:space="preserve">Déplacement Paris-Toulouse — équipe complète (4-5 pers., A/R + 1 nuit hôtel)</t>
  </si>
  <si>
    <t xml:space="preserve">Majoration réactivité 48h (mobilisation urgente)</t>
  </si>
  <si>
    <t xml:space="preserve">ESTIMATION — indemnité de disponibilité/mobilisation rapide</t>
  </si>
  <si>
    <t xml:space="preserve">Pilotage (% charge de production)</t>
  </si>
  <si>
    <t xml:space="preserve">%</t>
  </si>
  <si>
    <t xml:space="preserve">BPU IDFM Grille Coûts Production — méthodologie pour BPU/DQE</t>
  </si>
  <si>
    <t xml:space="preserve">Assurance production (projets avec tournage)</t>
  </si>
  <si>
    <t xml:space="preserve">Provision imprévus (projets avec tournage)</t>
  </si>
  <si>
    <t xml:space="preserve">TVA</t>
  </si>
  <si>
    <t xml:space="preserve">Taux standard</t>
  </si>
  <si>
    <t xml:space="preserve">Jours / Quantité</t>
  </si>
  <si>
    <t xml:space="preserve">Taux unitaire</t>
  </si>
  <si>
    <t xml:space="preserve">Coût</t>
  </si>
  <si>
    <t xml:space="preserve">U1 — Interview simple (1/2 journée) — RÉSEAU LOCAL</t>
  </si>
  <si>
    <t xml:space="preserve">Cadreur/JRI LOCAL (image + son)</t>
  </si>
  <si>
    <t xml:space="preserve">Supervision interne (coordination à distance)</t>
  </si>
  <si>
    <t xml:space="preserve">Montage (interne, à distance)</t>
  </si>
  <si>
    <t xml:space="preserve">Kit tournage léger (loué localement)</t>
  </si>
  <si>
    <t xml:space="preserve">Sous-total</t>
  </si>
  <si>
    <t xml:space="preserve">Pilotage</t>
  </si>
  <si>
    <t xml:space="preserve">Assurance production</t>
  </si>
  <si>
    <t xml:space="preserve">Provision imprévus</t>
  </si>
  <si>
    <t xml:space="preserve">PRIX UNITAIRE (HT)</t>
  </si>
  <si>
    <t xml:space="preserve">PRIX UNITAIRE (TTC)</t>
  </si>
  <si>
    <t xml:space="preserve">U2 — Portrait / témoignage (1 jour) — équipe Paris</t>
  </si>
  <si>
    <t xml:space="preserve">Réalisateur (direction, mi-temps)</t>
  </si>
  <si>
    <t xml:space="preserve">Cadreur / JRI</t>
  </si>
  <si>
    <t xml:space="preserve">Régie</t>
  </si>
  <si>
    <t xml:space="preserve">Supervision interne</t>
  </si>
  <si>
    <t xml:space="preserve">Montage</t>
  </si>
  <si>
    <t xml:space="preserve">Étalonnage</t>
  </si>
  <si>
    <t xml:space="preserve">Déplacement Paris-Toulouse (équipe légère)</t>
  </si>
  <si>
    <t xml:space="preserve">U3 — Reportage événementiel (1 jour) — RÉSEAU LOCAL</t>
  </si>
  <si>
    <t xml:space="preserve">Cadreur/JRI LOCAL</t>
  </si>
  <si>
    <t xml:space="preserve">Kit tournage intermédiaire (loué localement)</t>
  </si>
  <si>
    <t xml:space="preserve">U4 — Capsule réseaux sociaux (déclinaison, sans tournage)</t>
  </si>
  <si>
    <t xml:space="preserve">Montage / déclinaison</t>
  </si>
  <si>
    <t xml:space="preserve">U5 — Film institutionnel (2 jours de tournage) — équipe Paris</t>
  </si>
  <si>
    <t xml:space="preserve">Storyboard</t>
  </si>
  <si>
    <t xml:space="preserve">Écriture (interne)</t>
  </si>
  <si>
    <t xml:space="preserve">Réalisateur</t>
  </si>
  <si>
    <t xml:space="preserve">Mixage son</t>
  </si>
  <si>
    <t xml:space="preserve">Motion design / habillage</t>
  </si>
  <si>
    <t xml:space="preserve">Déplacement Paris-Toulouse (équipe complète)</t>
  </si>
  <si>
    <t xml:space="preserve">U6 — Vidéo vulgarisation scientifique (1,5 jour) — équipe Paris</t>
  </si>
  <si>
    <t xml:space="preserve">Motion design (schémas/graphiques)</t>
  </si>
  <si>
    <t xml:space="preserve">U7 — Sous-titrage additionnel (par vidéo)</t>
  </si>
  <si>
    <t xml:space="preserve">Sous-titrage</t>
  </si>
  <si>
    <t xml:space="preserve">U8 — Prestation urgente 48h (1/2 journée) — RÉSEAU LOCAL</t>
  </si>
  <si>
    <t xml:space="preserve">Cadreur/JRI LOCAL (poly-compétent image+son)</t>
  </si>
  <si>
    <t xml:space="preserve">Majoration réactivité 48h</t>
  </si>
  <si>
    <t xml:space="preserve">Prix unitaire HT</t>
  </si>
  <si>
    <t xml:space="preserve">Prix unitaire TTC</t>
  </si>
  <si>
    <t xml:space="preserve">Équipe</t>
  </si>
  <si>
    <t xml:space="preserve">Locale (à construire)</t>
  </si>
  <si>
    <t xml:space="preserve">Paris</t>
  </si>
  <si>
    <t xml:space="preserve">Scénario hybride : U1/U3/U8 supposent un réseau de prestataires toulousains identifié avant le 30/09 — sinon, reprendre les prix 'équipe Paris' du chiffrage précédent pour ces 3 unités.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</si>
</sst>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6F4EA"/>
      </patternFill>
    </fill>
    <fill>
      <patternFill patternType="solid">
        <fgColor rgb="FFE6F4EA"/>
        <bgColor rgb="FFEAF1FB"/>
      </patternFill>
    </fill>
    <fill>
      <patternFill patternType="solid">
        <fgColor rgb="FFEAF1FB"/>
        <bgColor rgb="FFE6F4E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1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4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8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6</v>
      </c>
      <c r="B4" s="5" t="n">
        <v>1200</v>
      </c>
      <c r="C4" s="4" t="s">
        <v>7</v>
      </c>
      <c r="D4" s="1" t="s">
        <v>8</v>
      </c>
    </row>
    <row r="5" customFormat="false" ht="15" hidden="false" customHeight="false" outlineLevel="0" collapsed="false">
      <c r="A5" s="4" t="s">
        <v>9</v>
      </c>
      <c r="B5" s="5" t="n">
        <v>550</v>
      </c>
      <c r="C5" s="4" t="s">
        <v>7</v>
      </c>
      <c r="D5" s="1" t="s">
        <v>10</v>
      </c>
    </row>
    <row r="6" customFormat="false" ht="15" hidden="false" customHeight="false" outlineLevel="0" collapsed="false">
      <c r="A6" s="4" t="s">
        <v>11</v>
      </c>
      <c r="B6" s="5" t="n">
        <v>500</v>
      </c>
      <c r="C6" s="4" t="s">
        <v>7</v>
      </c>
      <c r="D6" s="1" t="s">
        <v>12</v>
      </c>
    </row>
    <row r="7" customFormat="false" ht="15" hidden="false" customHeight="false" outlineLevel="0" collapsed="false">
      <c r="A7" s="4" t="s">
        <v>13</v>
      </c>
      <c r="B7" s="5" t="n">
        <v>300</v>
      </c>
      <c r="C7" s="4" t="s">
        <v>7</v>
      </c>
      <c r="D7" s="1" t="s">
        <v>14</v>
      </c>
    </row>
    <row r="8" customFormat="false" ht="15" hidden="false" customHeight="false" outlineLevel="0" collapsed="false">
      <c r="A8" s="4" t="s">
        <v>15</v>
      </c>
      <c r="B8" s="5" t="n">
        <v>500</v>
      </c>
      <c r="C8" s="4" t="s">
        <v>7</v>
      </c>
      <c r="D8" s="1" t="s">
        <v>10</v>
      </c>
    </row>
    <row r="9" customFormat="false" ht="15" hidden="false" customHeight="false" outlineLevel="0" collapsed="false">
      <c r="A9" s="4" t="s">
        <v>16</v>
      </c>
      <c r="B9" s="5" t="n">
        <v>480</v>
      </c>
      <c r="C9" s="4" t="s">
        <v>7</v>
      </c>
      <c r="D9" s="1" t="s">
        <v>10</v>
      </c>
    </row>
    <row r="10" customFormat="false" ht="15" hidden="false" customHeight="false" outlineLevel="0" collapsed="false">
      <c r="A10" s="4" t="s">
        <v>17</v>
      </c>
      <c r="B10" s="5" t="n">
        <v>480</v>
      </c>
      <c r="C10" s="4" t="s">
        <v>7</v>
      </c>
      <c r="D10" s="1" t="s">
        <v>12</v>
      </c>
    </row>
    <row r="11" customFormat="false" ht="15" hidden="false" customHeight="false" outlineLevel="0" collapsed="false">
      <c r="A11" s="4" t="s">
        <v>18</v>
      </c>
      <c r="B11" s="5" t="n">
        <v>600</v>
      </c>
      <c r="C11" s="4" t="s">
        <v>7</v>
      </c>
      <c r="D11" s="1" t="s">
        <v>19</v>
      </c>
    </row>
    <row r="12" customFormat="false" ht="15" hidden="false" customHeight="false" outlineLevel="0" collapsed="false">
      <c r="A12" s="4" t="s">
        <v>20</v>
      </c>
      <c r="B12" s="5" t="n">
        <v>400</v>
      </c>
      <c r="C12" s="4" t="s">
        <v>7</v>
      </c>
      <c r="D12" s="1" t="s">
        <v>21</v>
      </c>
    </row>
    <row r="13" customFormat="false" ht="15" hidden="false" customHeight="false" outlineLevel="0" collapsed="false">
      <c r="A13" s="4" t="s">
        <v>22</v>
      </c>
      <c r="B13" s="5" t="n">
        <v>500</v>
      </c>
      <c r="C13" s="4" t="s">
        <v>7</v>
      </c>
      <c r="D13" s="1" t="s">
        <v>23</v>
      </c>
    </row>
    <row r="14" customFormat="false" ht="15" hidden="false" customHeight="false" outlineLevel="0" collapsed="false">
      <c r="A14" s="4" t="s">
        <v>24</v>
      </c>
      <c r="B14" s="5" t="n">
        <v>200</v>
      </c>
      <c r="C14" s="4" t="s">
        <v>7</v>
      </c>
      <c r="D14" s="1" t="s">
        <v>25</v>
      </c>
    </row>
    <row r="15" customFormat="false" ht="15" hidden="false" customHeight="false" outlineLevel="0" collapsed="false">
      <c r="A15" s="4" t="s">
        <v>26</v>
      </c>
      <c r="B15" s="5" t="n">
        <v>550</v>
      </c>
      <c r="C15" s="4" t="s">
        <v>7</v>
      </c>
      <c r="D15" s="1" t="s">
        <v>27</v>
      </c>
    </row>
    <row r="16" customFormat="false" ht="15" hidden="false" customHeight="false" outlineLevel="0" collapsed="false">
      <c r="A16" s="4" t="s">
        <v>28</v>
      </c>
      <c r="B16" s="5" t="n">
        <v>300</v>
      </c>
      <c r="C16" s="4" t="s">
        <v>7</v>
      </c>
      <c r="D16" s="1" t="s">
        <v>29</v>
      </c>
    </row>
    <row r="17" customFormat="false" ht="15" hidden="false" customHeight="false" outlineLevel="0" collapsed="false">
      <c r="A17" s="4" t="s">
        <v>30</v>
      </c>
      <c r="B17" s="5" t="n">
        <v>700</v>
      </c>
      <c r="C17" s="4" t="s">
        <v>7</v>
      </c>
      <c r="D17" s="1" t="s">
        <v>29</v>
      </c>
    </row>
    <row r="18" customFormat="false" ht="15" hidden="false" customHeight="false" outlineLevel="0" collapsed="false">
      <c r="A18" s="4" t="s">
        <v>31</v>
      </c>
      <c r="B18" s="5" t="n">
        <v>900</v>
      </c>
      <c r="C18" s="4" t="s">
        <v>32</v>
      </c>
      <c r="D18" s="1" t="s">
        <v>33</v>
      </c>
    </row>
    <row r="19" customFormat="false" ht="15" hidden="false" customHeight="false" outlineLevel="0" collapsed="false">
      <c r="A19" s="4" t="s">
        <v>34</v>
      </c>
      <c r="B19" s="5" t="n">
        <v>1500</v>
      </c>
      <c r="C19" s="4" t="s">
        <v>32</v>
      </c>
      <c r="D19" s="1" t="s">
        <v>33</v>
      </c>
    </row>
    <row r="20" customFormat="false" ht="15" hidden="false" customHeight="false" outlineLevel="0" collapsed="false">
      <c r="A20" s="4" t="s">
        <v>35</v>
      </c>
      <c r="B20" s="5" t="n">
        <v>300</v>
      </c>
      <c r="C20" s="4" t="s">
        <v>32</v>
      </c>
      <c r="D20" s="1" t="s">
        <v>36</v>
      </c>
    </row>
    <row r="21" customFormat="false" ht="15" hidden="false" customHeight="false" outlineLevel="0" collapsed="false">
      <c r="A21" s="4" t="s">
        <v>37</v>
      </c>
      <c r="B21" s="6" t="n">
        <v>0.05</v>
      </c>
      <c r="C21" s="4" t="s">
        <v>38</v>
      </c>
      <c r="D21" s="1" t="s">
        <v>39</v>
      </c>
    </row>
    <row r="22" customFormat="false" ht="15" hidden="false" customHeight="false" outlineLevel="0" collapsed="false">
      <c r="A22" s="4" t="s">
        <v>40</v>
      </c>
      <c r="B22" s="6" t="n">
        <v>0.03</v>
      </c>
      <c r="C22" s="4" t="s">
        <v>38</v>
      </c>
      <c r="D22" s="1" t="s">
        <v>29</v>
      </c>
    </row>
    <row r="23" customFormat="false" ht="15" hidden="false" customHeight="false" outlineLevel="0" collapsed="false">
      <c r="A23" s="4" t="s">
        <v>41</v>
      </c>
      <c r="B23" s="6" t="n">
        <v>0.05</v>
      </c>
      <c r="C23" s="4" t="s">
        <v>38</v>
      </c>
      <c r="D23" s="1" t="s">
        <v>29</v>
      </c>
    </row>
    <row r="24" customFormat="false" ht="15" hidden="false" customHeight="false" outlineLevel="0" collapsed="false">
      <c r="A24" s="4" t="s">
        <v>42</v>
      </c>
      <c r="B24" s="6" t="n">
        <v>0.2</v>
      </c>
      <c r="C24" s="4" t="s">
        <v>38</v>
      </c>
      <c r="D24" s="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3" t="s">
        <v>2</v>
      </c>
      <c r="B1" s="3" t="s">
        <v>44</v>
      </c>
      <c r="C1" s="3" t="s">
        <v>45</v>
      </c>
      <c r="D1" s="3" t="s">
        <v>46</v>
      </c>
    </row>
    <row r="2" customFormat="false" ht="15" hidden="false" customHeight="false" outlineLevel="0" collapsed="false">
      <c r="A2" s="7" t="s">
        <v>47</v>
      </c>
      <c r="B2" s="8"/>
      <c r="C2" s="8"/>
      <c r="D2" s="8"/>
    </row>
    <row r="3" customFormat="false" ht="15" hidden="false" customHeight="false" outlineLevel="0" collapsed="false">
      <c r="A3" s="4" t="s">
        <v>48</v>
      </c>
      <c r="B3" s="9" t="n">
        <v>0.5</v>
      </c>
      <c r="C3" s="10" t="n">
        <f aca="false">Hypothèses!$B$15</f>
        <v>550</v>
      </c>
      <c r="D3" s="10" t="n">
        <f aca="false">B3*C3</f>
        <v>275</v>
      </c>
    </row>
    <row r="4" customFormat="false" ht="15" hidden="false" customHeight="false" outlineLevel="0" collapsed="false">
      <c r="A4" s="4" t="s">
        <v>49</v>
      </c>
      <c r="B4" s="9" t="n">
        <v>0.25</v>
      </c>
      <c r="C4" s="10" t="n">
        <f aca="false">Hypothèses!$B$14</f>
        <v>200</v>
      </c>
      <c r="D4" s="10" t="n">
        <f aca="false">B4*C4</f>
        <v>50</v>
      </c>
    </row>
    <row r="5" customFormat="false" ht="15" hidden="false" customHeight="false" outlineLevel="0" collapsed="false">
      <c r="A5" s="4" t="s">
        <v>50</v>
      </c>
      <c r="B5" s="9" t="n">
        <v>1</v>
      </c>
      <c r="C5" s="10" t="n">
        <f aca="false">Hypothèses!$B$8</f>
        <v>500</v>
      </c>
      <c r="D5" s="10" t="n">
        <f aca="false">B5*C5</f>
        <v>500</v>
      </c>
    </row>
    <row r="6" customFormat="false" ht="15" hidden="false" customHeight="false" outlineLevel="0" collapsed="false">
      <c r="A6" s="4" t="s">
        <v>51</v>
      </c>
      <c r="B6" s="9" t="n">
        <v>0.5</v>
      </c>
      <c r="C6" s="10" t="n">
        <f aca="false">Hypothèses!$B$16</f>
        <v>300</v>
      </c>
      <c r="D6" s="10" t="n">
        <f aca="false">B6*C6</f>
        <v>150</v>
      </c>
    </row>
    <row r="7" customFormat="false" ht="15" hidden="false" customHeight="false" outlineLevel="0" collapsed="false">
      <c r="A7" s="4" t="s">
        <v>52</v>
      </c>
      <c r="D7" s="10" t="n">
        <f aca="false">D3+D4+D5+D6</f>
        <v>975</v>
      </c>
    </row>
    <row r="8" customFormat="false" ht="15" hidden="false" customHeight="false" outlineLevel="0" collapsed="false">
      <c r="A8" s="4" t="s">
        <v>53</v>
      </c>
      <c r="C8" s="11" t="n">
        <f aca="false">Hypothèses!$B$21</f>
        <v>0.05</v>
      </c>
      <c r="D8" s="10" t="n">
        <f aca="false">D7*Hypothèses!$B$21</f>
        <v>48.75</v>
      </c>
    </row>
    <row r="9" customFormat="false" ht="15" hidden="false" customHeight="false" outlineLevel="0" collapsed="false">
      <c r="A9" s="4" t="s">
        <v>54</v>
      </c>
      <c r="C9" s="11" t="n">
        <f aca="false">Hypothèses!$B$22</f>
        <v>0.03</v>
      </c>
      <c r="D9" s="10" t="n">
        <f aca="false">D7*Hypothèses!$B$22</f>
        <v>29.25</v>
      </c>
    </row>
    <row r="10" customFormat="false" ht="15" hidden="false" customHeight="false" outlineLevel="0" collapsed="false">
      <c r="A10" s="4" t="s">
        <v>55</v>
      </c>
      <c r="C10" s="11" t="n">
        <f aca="false">Hypothèses!$B$23</f>
        <v>0.05</v>
      </c>
      <c r="D10" s="10" t="n">
        <f aca="false">D7*Hypothèses!$B$23</f>
        <v>48.75</v>
      </c>
    </row>
    <row r="11" customFormat="false" ht="15" hidden="false" customHeight="false" outlineLevel="0" collapsed="false">
      <c r="A11" s="12" t="s">
        <v>56</v>
      </c>
      <c r="D11" s="13" t="n">
        <f aca="false">D7+D8+D9+D10</f>
        <v>1101.75</v>
      </c>
    </row>
    <row r="12" customFormat="false" ht="15" hidden="false" customHeight="false" outlineLevel="0" collapsed="false">
      <c r="A12" s="4" t="s">
        <v>42</v>
      </c>
      <c r="D12" s="10" t="n">
        <f aca="false">D11*Hypothèses!$B$24</f>
        <v>220.35</v>
      </c>
    </row>
    <row r="13" customFormat="false" ht="15" hidden="false" customHeight="false" outlineLevel="0" collapsed="false">
      <c r="A13" s="12" t="s">
        <v>57</v>
      </c>
      <c r="D13" s="13" t="n">
        <f aca="false">D11+D12</f>
        <v>1322.1</v>
      </c>
    </row>
    <row r="15" customFormat="false" ht="15" hidden="false" customHeight="false" outlineLevel="0" collapsed="false">
      <c r="A15" s="14" t="s">
        <v>58</v>
      </c>
      <c r="B15" s="15"/>
      <c r="C15" s="15"/>
      <c r="D15" s="15"/>
    </row>
    <row r="16" customFormat="false" ht="15" hidden="false" customHeight="false" outlineLevel="0" collapsed="false">
      <c r="A16" s="4" t="s">
        <v>59</v>
      </c>
      <c r="B16" s="9" t="n">
        <v>0.5</v>
      </c>
      <c r="C16" s="10" t="n">
        <f aca="false">Hypothèses!$B$4</f>
        <v>1200</v>
      </c>
      <c r="D16" s="10" t="n">
        <f aca="false">B16*C16</f>
        <v>600</v>
      </c>
    </row>
    <row r="17" customFormat="false" ht="15" hidden="false" customHeight="false" outlineLevel="0" collapsed="false">
      <c r="A17" s="4" t="s">
        <v>60</v>
      </c>
      <c r="B17" s="9" t="n">
        <v>1</v>
      </c>
      <c r="C17" s="10" t="n">
        <f aca="false">Hypothèses!$B$5</f>
        <v>550</v>
      </c>
      <c r="D17" s="10" t="n">
        <f aca="false">B17*C17</f>
        <v>550</v>
      </c>
    </row>
    <row r="18" customFormat="false" ht="15" hidden="false" customHeight="false" outlineLevel="0" collapsed="false">
      <c r="A18" s="4" t="s">
        <v>11</v>
      </c>
      <c r="B18" s="9" t="n">
        <v>1</v>
      </c>
      <c r="C18" s="10" t="n">
        <f aca="false">Hypothèses!$B$6</f>
        <v>500</v>
      </c>
      <c r="D18" s="10" t="n">
        <f aca="false">B18*C18</f>
        <v>500</v>
      </c>
    </row>
    <row r="19" customFormat="false" ht="15" hidden="false" customHeight="false" outlineLevel="0" collapsed="false">
      <c r="A19" s="4" t="s">
        <v>61</v>
      </c>
      <c r="B19" s="9" t="n">
        <v>0.5</v>
      </c>
      <c r="C19" s="10" t="n">
        <f aca="false">Hypothèses!$B$7</f>
        <v>300</v>
      </c>
      <c r="D19" s="10" t="n">
        <f aca="false">B19*C19</f>
        <v>150</v>
      </c>
    </row>
    <row r="20" customFormat="false" ht="15" hidden="false" customHeight="false" outlineLevel="0" collapsed="false">
      <c r="A20" s="4" t="s">
        <v>62</v>
      </c>
      <c r="B20" s="9" t="n">
        <v>0.25</v>
      </c>
      <c r="C20" s="10" t="n">
        <f aca="false">Hypothèses!$B$14</f>
        <v>200</v>
      </c>
      <c r="D20" s="10" t="n">
        <f aca="false">B20*C20</f>
        <v>50</v>
      </c>
    </row>
    <row r="21" customFormat="false" ht="15" hidden="false" customHeight="false" outlineLevel="0" collapsed="false">
      <c r="A21" s="4" t="s">
        <v>63</v>
      </c>
      <c r="B21" s="9" t="n">
        <v>1.5</v>
      </c>
      <c r="C21" s="10" t="n">
        <f aca="false">Hypothèses!$B$8</f>
        <v>500</v>
      </c>
      <c r="D21" s="10" t="n">
        <f aca="false">B21*C21</f>
        <v>750</v>
      </c>
    </row>
    <row r="22" customFormat="false" ht="15" hidden="false" customHeight="false" outlineLevel="0" collapsed="false">
      <c r="A22" s="4" t="s">
        <v>64</v>
      </c>
      <c r="B22" s="9" t="n">
        <v>0.25</v>
      </c>
      <c r="C22" s="10" t="n">
        <f aca="false">Hypothèses!$B$9</f>
        <v>480</v>
      </c>
      <c r="D22" s="10" t="n">
        <f aca="false">B22*C22</f>
        <v>120</v>
      </c>
    </row>
    <row r="23" customFormat="false" ht="15" hidden="false" customHeight="false" outlineLevel="0" collapsed="false">
      <c r="A23" s="4" t="s">
        <v>65</v>
      </c>
      <c r="B23" s="9" t="n">
        <v>1</v>
      </c>
      <c r="C23" s="10" t="n">
        <f aca="false">Hypothèses!$B$18</f>
        <v>900</v>
      </c>
      <c r="D23" s="10" t="n">
        <f aca="false">B23*C23</f>
        <v>900</v>
      </c>
    </row>
    <row r="24" customFormat="false" ht="15" hidden="false" customHeight="false" outlineLevel="0" collapsed="false">
      <c r="A24" s="4" t="s">
        <v>30</v>
      </c>
      <c r="B24" s="9" t="n">
        <v>1</v>
      </c>
      <c r="C24" s="10" t="n">
        <f aca="false">Hypothèses!$B$17</f>
        <v>700</v>
      </c>
      <c r="D24" s="10" t="n">
        <f aca="false">B24*C24</f>
        <v>700</v>
      </c>
    </row>
    <row r="25" customFormat="false" ht="15" hidden="false" customHeight="false" outlineLevel="0" collapsed="false">
      <c r="A25" s="4" t="s">
        <v>52</v>
      </c>
      <c r="D25" s="10" t="n">
        <f aca="false">D16+D17+D18+D19+D20+D21+D22+D23+D24</f>
        <v>4320</v>
      </c>
    </row>
    <row r="26" customFormat="false" ht="15" hidden="false" customHeight="false" outlineLevel="0" collapsed="false">
      <c r="A26" s="4" t="s">
        <v>53</v>
      </c>
      <c r="C26" s="11" t="n">
        <f aca="false">Hypothèses!$B$21</f>
        <v>0.05</v>
      </c>
      <c r="D26" s="10" t="n">
        <f aca="false">D25*Hypothèses!$B$21</f>
        <v>216</v>
      </c>
    </row>
    <row r="27" customFormat="false" ht="15" hidden="false" customHeight="false" outlineLevel="0" collapsed="false">
      <c r="A27" s="4" t="s">
        <v>54</v>
      </c>
      <c r="C27" s="11" t="n">
        <f aca="false">Hypothèses!$B$22</f>
        <v>0.03</v>
      </c>
      <c r="D27" s="10" t="n">
        <f aca="false">D25*Hypothèses!$B$22</f>
        <v>129.6</v>
      </c>
    </row>
    <row r="28" customFormat="false" ht="15" hidden="false" customHeight="false" outlineLevel="0" collapsed="false">
      <c r="A28" s="4" t="s">
        <v>55</v>
      </c>
      <c r="C28" s="11" t="n">
        <f aca="false">Hypothèses!$B$23</f>
        <v>0.05</v>
      </c>
      <c r="D28" s="10" t="n">
        <f aca="false">D25*Hypothèses!$B$23</f>
        <v>216</v>
      </c>
    </row>
    <row r="29" customFormat="false" ht="15" hidden="false" customHeight="false" outlineLevel="0" collapsed="false">
      <c r="A29" s="12" t="s">
        <v>56</v>
      </c>
      <c r="D29" s="13" t="n">
        <f aca="false">D25+D26+D27+D28</f>
        <v>4881.6</v>
      </c>
    </row>
    <row r="30" customFormat="false" ht="15" hidden="false" customHeight="false" outlineLevel="0" collapsed="false">
      <c r="A30" s="4" t="s">
        <v>42</v>
      </c>
      <c r="D30" s="10" t="n">
        <f aca="false">D29*Hypothèses!$B$24</f>
        <v>976.32</v>
      </c>
    </row>
    <row r="31" customFormat="false" ht="15" hidden="false" customHeight="false" outlineLevel="0" collapsed="false">
      <c r="A31" s="12" t="s">
        <v>57</v>
      </c>
      <c r="D31" s="13" t="n">
        <f aca="false">D29+D30</f>
        <v>5857.92</v>
      </c>
    </row>
    <row r="33" customFormat="false" ht="15" hidden="false" customHeight="false" outlineLevel="0" collapsed="false">
      <c r="A33" s="7" t="s">
        <v>66</v>
      </c>
      <c r="B33" s="8"/>
      <c r="C33" s="8"/>
      <c r="D33" s="8"/>
    </row>
    <row r="34" customFormat="false" ht="15" hidden="false" customHeight="false" outlineLevel="0" collapsed="false">
      <c r="A34" s="4" t="s">
        <v>67</v>
      </c>
      <c r="B34" s="9" t="n">
        <v>1</v>
      </c>
      <c r="C34" s="10" t="n">
        <f aca="false">Hypothèses!$B$15</f>
        <v>550</v>
      </c>
      <c r="D34" s="10" t="n">
        <f aca="false">B34*C34</f>
        <v>550</v>
      </c>
    </row>
    <row r="35" customFormat="false" ht="15" hidden="false" customHeight="false" outlineLevel="0" collapsed="false">
      <c r="A35" s="4" t="s">
        <v>49</v>
      </c>
      <c r="B35" s="9" t="n">
        <v>0.25</v>
      </c>
      <c r="C35" s="10" t="n">
        <f aca="false">Hypothèses!$B$14</f>
        <v>200</v>
      </c>
      <c r="D35" s="10" t="n">
        <f aca="false">B35*C35</f>
        <v>50</v>
      </c>
    </row>
    <row r="36" customFormat="false" ht="15" hidden="false" customHeight="false" outlineLevel="0" collapsed="false">
      <c r="A36" s="4" t="s">
        <v>50</v>
      </c>
      <c r="B36" s="9" t="n">
        <v>1.5</v>
      </c>
      <c r="C36" s="10" t="n">
        <f aca="false">Hypothèses!$B$8</f>
        <v>500</v>
      </c>
      <c r="D36" s="10" t="n">
        <f aca="false">B36*C36</f>
        <v>750</v>
      </c>
    </row>
    <row r="37" customFormat="false" ht="15" hidden="false" customHeight="false" outlineLevel="0" collapsed="false">
      <c r="A37" s="4" t="s">
        <v>68</v>
      </c>
      <c r="B37" s="9" t="n">
        <v>1</v>
      </c>
      <c r="C37" s="10" t="n">
        <f aca="false">Hypothèses!$B$17</f>
        <v>700</v>
      </c>
      <c r="D37" s="10" t="n">
        <f aca="false">B37*C37</f>
        <v>700</v>
      </c>
    </row>
    <row r="38" customFormat="false" ht="15" hidden="false" customHeight="false" outlineLevel="0" collapsed="false">
      <c r="A38" s="4" t="s">
        <v>52</v>
      </c>
      <c r="D38" s="10" t="n">
        <f aca="false">D34+D35+D36+D37</f>
        <v>2050</v>
      </c>
    </row>
    <row r="39" customFormat="false" ht="15" hidden="false" customHeight="false" outlineLevel="0" collapsed="false">
      <c r="A39" s="4" t="s">
        <v>53</v>
      </c>
      <c r="C39" s="11" t="n">
        <f aca="false">Hypothèses!$B$21</f>
        <v>0.05</v>
      </c>
      <c r="D39" s="10" t="n">
        <f aca="false">D38*Hypothèses!$B$21</f>
        <v>102.5</v>
      </c>
    </row>
    <row r="40" customFormat="false" ht="15" hidden="false" customHeight="false" outlineLevel="0" collapsed="false">
      <c r="A40" s="4" t="s">
        <v>54</v>
      </c>
      <c r="C40" s="11" t="n">
        <f aca="false">Hypothèses!$B$22</f>
        <v>0.03</v>
      </c>
      <c r="D40" s="10" t="n">
        <f aca="false">D38*Hypothèses!$B$22</f>
        <v>61.5</v>
      </c>
    </row>
    <row r="41" customFormat="false" ht="15" hidden="false" customHeight="false" outlineLevel="0" collapsed="false">
      <c r="A41" s="4" t="s">
        <v>55</v>
      </c>
      <c r="C41" s="11" t="n">
        <f aca="false">Hypothèses!$B$23</f>
        <v>0.05</v>
      </c>
      <c r="D41" s="10" t="n">
        <f aca="false">D38*Hypothèses!$B$23</f>
        <v>102.5</v>
      </c>
    </row>
    <row r="42" customFormat="false" ht="15" hidden="false" customHeight="false" outlineLevel="0" collapsed="false">
      <c r="A42" s="12" t="s">
        <v>56</v>
      </c>
      <c r="D42" s="13" t="n">
        <f aca="false">D38+D39+D40+D41</f>
        <v>2316.5</v>
      </c>
    </row>
    <row r="43" customFormat="false" ht="15" hidden="false" customHeight="false" outlineLevel="0" collapsed="false">
      <c r="A43" s="4" t="s">
        <v>42</v>
      </c>
      <c r="D43" s="10" t="n">
        <f aca="false">D42*Hypothèses!$B$24</f>
        <v>463.3</v>
      </c>
    </row>
    <row r="44" customFormat="false" ht="15" hidden="false" customHeight="false" outlineLevel="0" collapsed="false">
      <c r="A44" s="12" t="s">
        <v>57</v>
      </c>
      <c r="D44" s="13" t="n">
        <f aca="false">D42+D43</f>
        <v>2779.8</v>
      </c>
    </row>
    <row r="46" customFormat="false" ht="15" hidden="false" customHeight="false" outlineLevel="0" collapsed="false">
      <c r="A46" s="14" t="s">
        <v>69</v>
      </c>
      <c r="B46" s="15"/>
      <c r="C46" s="15"/>
      <c r="D46" s="15"/>
    </row>
    <row r="47" customFormat="false" ht="15" hidden="false" customHeight="false" outlineLevel="0" collapsed="false">
      <c r="A47" s="4" t="s">
        <v>70</v>
      </c>
      <c r="B47" s="9" t="n">
        <v>0.5</v>
      </c>
      <c r="C47" s="10" t="n">
        <f aca="false">Hypothèses!$B$8</f>
        <v>500</v>
      </c>
      <c r="D47" s="10" t="n">
        <f aca="false">B47*C47</f>
        <v>250</v>
      </c>
    </row>
    <row r="48" customFormat="false" ht="15" hidden="false" customHeight="false" outlineLevel="0" collapsed="false">
      <c r="A48" s="4" t="s">
        <v>52</v>
      </c>
      <c r="D48" s="10" t="n">
        <f aca="false">D47</f>
        <v>250</v>
      </c>
    </row>
    <row r="49" customFormat="false" ht="15" hidden="false" customHeight="false" outlineLevel="0" collapsed="false">
      <c r="A49" s="4" t="s">
        <v>53</v>
      </c>
      <c r="C49" s="11" t="n">
        <f aca="false">Hypothèses!$B$21</f>
        <v>0.05</v>
      </c>
      <c r="D49" s="10" t="n">
        <f aca="false">D48*Hypothèses!$B$21</f>
        <v>12.5</v>
      </c>
    </row>
    <row r="50" customFormat="false" ht="15" hidden="false" customHeight="false" outlineLevel="0" collapsed="false">
      <c r="A50" s="12" t="s">
        <v>56</v>
      </c>
      <c r="D50" s="13" t="n">
        <f aca="false">D48+D49</f>
        <v>262.5</v>
      </c>
    </row>
    <row r="51" customFormat="false" ht="15" hidden="false" customHeight="false" outlineLevel="0" collapsed="false">
      <c r="A51" s="4" t="s">
        <v>42</v>
      </c>
      <c r="D51" s="10" t="n">
        <f aca="false">D50*Hypothèses!$B$24</f>
        <v>52.5</v>
      </c>
    </row>
    <row r="52" customFormat="false" ht="15" hidden="false" customHeight="false" outlineLevel="0" collapsed="false">
      <c r="A52" s="12" t="s">
        <v>57</v>
      </c>
      <c r="D52" s="13" t="n">
        <f aca="false">D50+D51</f>
        <v>315</v>
      </c>
    </row>
    <row r="54" customFormat="false" ht="15" hidden="false" customHeight="false" outlineLevel="0" collapsed="false">
      <c r="A54" s="14" t="s">
        <v>71</v>
      </c>
      <c r="B54" s="15"/>
      <c r="C54" s="15"/>
      <c r="D54" s="15"/>
    </row>
    <row r="55" customFormat="false" ht="15" hidden="false" customHeight="false" outlineLevel="0" collapsed="false">
      <c r="A55" s="4" t="s">
        <v>72</v>
      </c>
      <c r="B55" s="9" t="n">
        <v>1</v>
      </c>
      <c r="C55" s="10" t="n">
        <f aca="false">Hypothèses!$B$12</f>
        <v>400</v>
      </c>
      <c r="D55" s="10" t="n">
        <f aca="false">B55*C55</f>
        <v>400</v>
      </c>
    </row>
    <row r="56" customFormat="false" ht="15" hidden="false" customHeight="false" outlineLevel="0" collapsed="false">
      <c r="A56" s="4" t="s">
        <v>73</v>
      </c>
      <c r="B56" s="9" t="n">
        <v>1</v>
      </c>
      <c r="C56" s="10" t="n">
        <f aca="false">Hypothèses!$B$14</f>
        <v>200</v>
      </c>
      <c r="D56" s="10" t="n">
        <f aca="false">B56*C56</f>
        <v>200</v>
      </c>
    </row>
    <row r="57" customFormat="false" ht="15" hidden="false" customHeight="false" outlineLevel="0" collapsed="false">
      <c r="A57" s="4" t="s">
        <v>74</v>
      </c>
      <c r="B57" s="9" t="n">
        <v>2</v>
      </c>
      <c r="C57" s="10" t="n">
        <f aca="false">Hypothèses!$B$4</f>
        <v>1200</v>
      </c>
      <c r="D57" s="10" t="n">
        <f aca="false">B57*C57</f>
        <v>2400</v>
      </c>
    </row>
    <row r="58" customFormat="false" ht="15" hidden="false" customHeight="false" outlineLevel="0" collapsed="false">
      <c r="A58" s="4" t="s">
        <v>60</v>
      </c>
      <c r="B58" s="9" t="n">
        <v>2</v>
      </c>
      <c r="C58" s="10" t="n">
        <f aca="false">Hypothèses!$B$5</f>
        <v>550</v>
      </c>
      <c r="D58" s="10" t="n">
        <f aca="false">B58*C58</f>
        <v>1100</v>
      </c>
    </row>
    <row r="59" customFormat="false" ht="15" hidden="false" customHeight="false" outlineLevel="0" collapsed="false">
      <c r="A59" s="4" t="s">
        <v>11</v>
      </c>
      <c r="B59" s="9" t="n">
        <v>2</v>
      </c>
      <c r="C59" s="10" t="n">
        <f aca="false">Hypothèses!$B$6</f>
        <v>500</v>
      </c>
      <c r="D59" s="10" t="n">
        <f aca="false">B59*C59</f>
        <v>1000</v>
      </c>
    </row>
    <row r="60" customFormat="false" ht="15" hidden="false" customHeight="false" outlineLevel="0" collapsed="false">
      <c r="A60" s="4" t="s">
        <v>61</v>
      </c>
      <c r="B60" s="9" t="n">
        <v>1</v>
      </c>
      <c r="C60" s="10" t="n">
        <f aca="false">Hypothèses!$B$7</f>
        <v>300</v>
      </c>
      <c r="D60" s="10" t="n">
        <f aca="false">B60*C60</f>
        <v>300</v>
      </c>
    </row>
    <row r="61" customFormat="false" ht="15" hidden="false" customHeight="false" outlineLevel="0" collapsed="false">
      <c r="A61" s="4" t="s">
        <v>62</v>
      </c>
      <c r="B61" s="9" t="n">
        <v>0.5</v>
      </c>
      <c r="C61" s="10" t="n">
        <f aca="false">Hypothèses!$B$14</f>
        <v>200</v>
      </c>
      <c r="D61" s="10" t="n">
        <f aca="false">B61*C61</f>
        <v>100</v>
      </c>
    </row>
    <row r="62" customFormat="false" ht="15" hidden="false" customHeight="false" outlineLevel="0" collapsed="false">
      <c r="A62" s="4" t="s">
        <v>63</v>
      </c>
      <c r="B62" s="9" t="n">
        <v>3</v>
      </c>
      <c r="C62" s="10" t="n">
        <f aca="false">Hypothèses!$B$8</f>
        <v>500</v>
      </c>
      <c r="D62" s="10" t="n">
        <f aca="false">B62*C62</f>
        <v>1500</v>
      </c>
    </row>
    <row r="63" customFormat="false" ht="15" hidden="false" customHeight="false" outlineLevel="0" collapsed="false">
      <c r="A63" s="4" t="s">
        <v>64</v>
      </c>
      <c r="B63" s="9" t="n">
        <v>0.5</v>
      </c>
      <c r="C63" s="10" t="n">
        <f aca="false">Hypothèses!$B$9</f>
        <v>480</v>
      </c>
      <c r="D63" s="10" t="n">
        <f aca="false">B63*C63</f>
        <v>240</v>
      </c>
    </row>
    <row r="64" customFormat="false" ht="15" hidden="false" customHeight="false" outlineLevel="0" collapsed="false">
      <c r="A64" s="4" t="s">
        <v>75</v>
      </c>
      <c r="B64" s="9" t="n">
        <v>0.5</v>
      </c>
      <c r="C64" s="10" t="n">
        <f aca="false">Hypothèses!$B$10</f>
        <v>480</v>
      </c>
      <c r="D64" s="10" t="n">
        <f aca="false">B64*C64</f>
        <v>240</v>
      </c>
    </row>
    <row r="65" customFormat="false" ht="15" hidden="false" customHeight="false" outlineLevel="0" collapsed="false">
      <c r="A65" s="4" t="s">
        <v>76</v>
      </c>
      <c r="B65" s="9" t="n">
        <v>1</v>
      </c>
      <c r="C65" s="10" t="n">
        <f aca="false">Hypothèses!$B$11</f>
        <v>600</v>
      </c>
      <c r="D65" s="10" t="n">
        <f aca="false">B65*C65</f>
        <v>600</v>
      </c>
    </row>
    <row r="66" customFormat="false" ht="15" hidden="false" customHeight="false" outlineLevel="0" collapsed="false">
      <c r="A66" s="4" t="s">
        <v>77</v>
      </c>
      <c r="B66" s="9" t="n">
        <v>1</v>
      </c>
      <c r="C66" s="10" t="n">
        <f aca="false">Hypothèses!$B$19</f>
        <v>1500</v>
      </c>
      <c r="D66" s="10" t="n">
        <f aca="false">B66*C66</f>
        <v>1500</v>
      </c>
    </row>
    <row r="67" customFormat="false" ht="15" hidden="false" customHeight="false" outlineLevel="0" collapsed="false">
      <c r="A67" s="4" t="s">
        <v>30</v>
      </c>
      <c r="B67" s="9" t="n">
        <v>2</v>
      </c>
      <c r="C67" s="10" t="n">
        <f aca="false">Hypothèses!$B$17</f>
        <v>700</v>
      </c>
      <c r="D67" s="10" t="n">
        <f aca="false">B67*C67</f>
        <v>1400</v>
      </c>
    </row>
    <row r="68" customFormat="false" ht="15" hidden="false" customHeight="false" outlineLevel="0" collapsed="false">
      <c r="A68" s="4" t="s">
        <v>52</v>
      </c>
      <c r="D68" s="10" t="n">
        <f aca="false">D55+D56+D57+D58+D59+D60+D61+D62+D63+D64+D65+D66+D67</f>
        <v>10980</v>
      </c>
    </row>
    <row r="69" customFormat="false" ht="15" hidden="false" customHeight="false" outlineLevel="0" collapsed="false">
      <c r="A69" s="4" t="s">
        <v>53</v>
      </c>
      <c r="C69" s="11" t="n">
        <f aca="false">Hypothèses!$B$21</f>
        <v>0.05</v>
      </c>
      <c r="D69" s="10" t="n">
        <f aca="false">D68*Hypothèses!$B$21</f>
        <v>549</v>
      </c>
    </row>
    <row r="70" customFormat="false" ht="15" hidden="false" customHeight="false" outlineLevel="0" collapsed="false">
      <c r="A70" s="4" t="s">
        <v>54</v>
      </c>
      <c r="C70" s="11" t="n">
        <f aca="false">Hypothèses!$B$22</f>
        <v>0.03</v>
      </c>
      <c r="D70" s="10" t="n">
        <f aca="false">D68*Hypothèses!$B$22</f>
        <v>329.4</v>
      </c>
    </row>
    <row r="71" customFormat="false" ht="15" hidden="false" customHeight="false" outlineLevel="0" collapsed="false">
      <c r="A71" s="4" t="s">
        <v>55</v>
      </c>
      <c r="C71" s="11" t="n">
        <f aca="false">Hypothèses!$B$23</f>
        <v>0.05</v>
      </c>
      <c r="D71" s="10" t="n">
        <f aca="false">D68*Hypothèses!$B$23</f>
        <v>549</v>
      </c>
    </row>
    <row r="72" customFormat="false" ht="15" hidden="false" customHeight="false" outlineLevel="0" collapsed="false">
      <c r="A72" s="12" t="s">
        <v>56</v>
      </c>
      <c r="D72" s="13" t="n">
        <f aca="false">D68+D69+D70+D71</f>
        <v>12407.4</v>
      </c>
    </row>
    <row r="73" customFormat="false" ht="15" hidden="false" customHeight="false" outlineLevel="0" collapsed="false">
      <c r="A73" s="4" t="s">
        <v>42</v>
      </c>
      <c r="D73" s="10" t="n">
        <f aca="false">D72*Hypothèses!$B$24</f>
        <v>2481.48</v>
      </c>
    </row>
    <row r="74" customFormat="false" ht="15" hidden="false" customHeight="false" outlineLevel="0" collapsed="false">
      <c r="A74" s="12" t="s">
        <v>57</v>
      </c>
      <c r="D74" s="13" t="n">
        <f aca="false">D72+D73</f>
        <v>14888.88</v>
      </c>
    </row>
    <row r="76" customFormat="false" ht="15" hidden="false" customHeight="false" outlineLevel="0" collapsed="false">
      <c r="A76" s="14" t="s">
        <v>78</v>
      </c>
      <c r="B76" s="15"/>
      <c r="C76" s="15"/>
      <c r="D76" s="15"/>
    </row>
    <row r="77" customFormat="false" ht="15" hidden="false" customHeight="false" outlineLevel="0" collapsed="false">
      <c r="A77" s="4" t="s">
        <v>74</v>
      </c>
      <c r="B77" s="9" t="n">
        <v>1</v>
      </c>
      <c r="C77" s="10" t="n">
        <f aca="false">Hypothèses!$B$4</f>
        <v>1200</v>
      </c>
      <c r="D77" s="10" t="n">
        <f aca="false">B77*C77</f>
        <v>1200</v>
      </c>
    </row>
    <row r="78" customFormat="false" ht="15" hidden="false" customHeight="false" outlineLevel="0" collapsed="false">
      <c r="A78" s="4" t="s">
        <v>60</v>
      </c>
      <c r="B78" s="9" t="n">
        <v>1.5</v>
      </c>
      <c r="C78" s="10" t="n">
        <f aca="false">Hypothèses!$B$5</f>
        <v>550</v>
      </c>
      <c r="D78" s="10" t="n">
        <f aca="false">B78*C78</f>
        <v>825</v>
      </c>
    </row>
    <row r="79" customFormat="false" ht="15" hidden="false" customHeight="false" outlineLevel="0" collapsed="false">
      <c r="A79" s="4" t="s">
        <v>11</v>
      </c>
      <c r="B79" s="9" t="n">
        <v>1.5</v>
      </c>
      <c r="C79" s="10" t="n">
        <f aca="false">Hypothèses!$B$6</f>
        <v>500</v>
      </c>
      <c r="D79" s="10" t="n">
        <f aca="false">B79*C79</f>
        <v>750</v>
      </c>
    </row>
    <row r="80" customFormat="false" ht="15" hidden="false" customHeight="false" outlineLevel="0" collapsed="false">
      <c r="A80" s="4" t="s">
        <v>61</v>
      </c>
      <c r="B80" s="9" t="n">
        <v>0.5</v>
      </c>
      <c r="C80" s="10" t="n">
        <f aca="false">Hypothèses!$B$7</f>
        <v>300</v>
      </c>
      <c r="D80" s="10" t="n">
        <f aca="false">B80*C80</f>
        <v>150</v>
      </c>
    </row>
    <row r="81" customFormat="false" ht="15" hidden="false" customHeight="false" outlineLevel="0" collapsed="false">
      <c r="A81" s="4" t="s">
        <v>62</v>
      </c>
      <c r="B81" s="9" t="n">
        <v>0.25</v>
      </c>
      <c r="C81" s="10" t="n">
        <f aca="false">Hypothèses!$B$14</f>
        <v>200</v>
      </c>
      <c r="D81" s="10" t="n">
        <f aca="false">B81*C81</f>
        <v>50</v>
      </c>
    </row>
    <row r="82" customFormat="false" ht="15" hidden="false" customHeight="false" outlineLevel="0" collapsed="false">
      <c r="A82" s="4" t="s">
        <v>63</v>
      </c>
      <c r="B82" s="9" t="n">
        <v>2</v>
      </c>
      <c r="C82" s="10" t="n">
        <f aca="false">Hypothèses!$B$8</f>
        <v>500</v>
      </c>
      <c r="D82" s="10" t="n">
        <f aca="false">B82*C82</f>
        <v>1000</v>
      </c>
    </row>
    <row r="83" customFormat="false" ht="15" hidden="false" customHeight="false" outlineLevel="0" collapsed="false">
      <c r="A83" s="4" t="s">
        <v>79</v>
      </c>
      <c r="B83" s="9" t="n">
        <v>0.5</v>
      </c>
      <c r="C83" s="10" t="n">
        <f aca="false">Hypothèses!$B$11</f>
        <v>600</v>
      </c>
      <c r="D83" s="10" t="n">
        <f aca="false">B83*C83</f>
        <v>300</v>
      </c>
    </row>
    <row r="84" customFormat="false" ht="15" hidden="false" customHeight="false" outlineLevel="0" collapsed="false">
      <c r="A84" s="4" t="s">
        <v>65</v>
      </c>
      <c r="B84" s="9" t="n">
        <v>1</v>
      </c>
      <c r="C84" s="10" t="n">
        <f aca="false">Hypothèses!$B$18</f>
        <v>900</v>
      </c>
      <c r="D84" s="10" t="n">
        <f aca="false">B84*C84</f>
        <v>900</v>
      </c>
    </row>
    <row r="85" customFormat="false" ht="15" hidden="false" customHeight="false" outlineLevel="0" collapsed="false">
      <c r="A85" s="4" t="s">
        <v>30</v>
      </c>
      <c r="B85" s="9" t="n">
        <v>1.5</v>
      </c>
      <c r="C85" s="10" t="n">
        <f aca="false">Hypothèses!$B$17</f>
        <v>700</v>
      </c>
      <c r="D85" s="10" t="n">
        <f aca="false">B85*C85</f>
        <v>1050</v>
      </c>
    </row>
    <row r="86" customFormat="false" ht="15" hidden="false" customHeight="false" outlineLevel="0" collapsed="false">
      <c r="A86" s="4" t="s">
        <v>52</v>
      </c>
      <c r="D86" s="10" t="n">
        <f aca="false">D77+D78+D79+D80+D81+D82+D83+D84+D85</f>
        <v>6225</v>
      </c>
    </row>
    <row r="87" customFormat="false" ht="15" hidden="false" customHeight="false" outlineLevel="0" collapsed="false">
      <c r="A87" s="4" t="s">
        <v>53</v>
      </c>
      <c r="C87" s="11" t="n">
        <f aca="false">Hypothèses!$B$21</f>
        <v>0.05</v>
      </c>
      <c r="D87" s="10" t="n">
        <f aca="false">D86*Hypothèses!$B$21</f>
        <v>311.25</v>
      </c>
    </row>
    <row r="88" customFormat="false" ht="15" hidden="false" customHeight="false" outlineLevel="0" collapsed="false">
      <c r="A88" s="4" t="s">
        <v>54</v>
      </c>
      <c r="C88" s="11" t="n">
        <f aca="false">Hypothèses!$B$22</f>
        <v>0.03</v>
      </c>
      <c r="D88" s="10" t="n">
        <f aca="false">D86*Hypothèses!$B$22</f>
        <v>186.75</v>
      </c>
    </row>
    <row r="89" customFormat="false" ht="15" hidden="false" customHeight="false" outlineLevel="0" collapsed="false">
      <c r="A89" s="4" t="s">
        <v>55</v>
      </c>
      <c r="C89" s="11" t="n">
        <f aca="false">Hypothèses!$B$23</f>
        <v>0.05</v>
      </c>
      <c r="D89" s="10" t="n">
        <f aca="false">D86*Hypothèses!$B$23</f>
        <v>311.25</v>
      </c>
    </row>
    <row r="90" customFormat="false" ht="15" hidden="false" customHeight="false" outlineLevel="0" collapsed="false">
      <c r="A90" s="12" t="s">
        <v>56</v>
      </c>
      <c r="D90" s="13" t="n">
        <f aca="false">D86+D87+D88+D89</f>
        <v>7034.25</v>
      </c>
    </row>
    <row r="91" customFormat="false" ht="15" hidden="false" customHeight="false" outlineLevel="0" collapsed="false">
      <c r="A91" s="4" t="s">
        <v>42</v>
      </c>
      <c r="D91" s="10" t="n">
        <f aca="false">D90*Hypothèses!$B$24</f>
        <v>1406.85</v>
      </c>
    </row>
    <row r="92" customFormat="false" ht="15" hidden="false" customHeight="false" outlineLevel="0" collapsed="false">
      <c r="A92" s="12" t="s">
        <v>57</v>
      </c>
      <c r="D92" s="13" t="n">
        <f aca="false">D90+D91</f>
        <v>8441.1</v>
      </c>
    </row>
    <row r="94" customFormat="false" ht="15" hidden="false" customHeight="false" outlineLevel="0" collapsed="false">
      <c r="A94" s="14" t="s">
        <v>80</v>
      </c>
      <c r="B94" s="15"/>
      <c r="C94" s="15"/>
      <c r="D94" s="15"/>
    </row>
    <row r="95" customFormat="false" ht="15" hidden="false" customHeight="false" outlineLevel="0" collapsed="false">
      <c r="A95" s="4" t="s">
        <v>81</v>
      </c>
      <c r="B95" s="9" t="n">
        <v>0.25</v>
      </c>
      <c r="C95" s="10" t="n">
        <f aca="false">Hypothèses!$B$8</f>
        <v>500</v>
      </c>
      <c r="D95" s="10" t="n">
        <f aca="false">B95*C95</f>
        <v>125</v>
      </c>
    </row>
    <row r="96" customFormat="false" ht="15" hidden="false" customHeight="false" outlineLevel="0" collapsed="false">
      <c r="A96" s="4" t="s">
        <v>52</v>
      </c>
      <c r="D96" s="10" t="n">
        <f aca="false">D95</f>
        <v>125</v>
      </c>
    </row>
    <row r="97" customFormat="false" ht="15" hidden="false" customHeight="false" outlineLevel="0" collapsed="false">
      <c r="A97" s="4" t="s">
        <v>53</v>
      </c>
      <c r="C97" s="11" t="n">
        <f aca="false">Hypothèses!$B$21</f>
        <v>0.05</v>
      </c>
      <c r="D97" s="10" t="n">
        <f aca="false">D96*Hypothèses!$B$21</f>
        <v>6.25</v>
      </c>
    </row>
    <row r="98" customFormat="false" ht="15" hidden="false" customHeight="false" outlineLevel="0" collapsed="false">
      <c r="A98" s="12" t="s">
        <v>56</v>
      </c>
      <c r="D98" s="13" t="n">
        <f aca="false">D96+D97</f>
        <v>131.25</v>
      </c>
    </row>
    <row r="99" customFormat="false" ht="15" hidden="false" customHeight="false" outlineLevel="0" collapsed="false">
      <c r="A99" s="4" t="s">
        <v>42</v>
      </c>
      <c r="D99" s="10" t="n">
        <f aca="false">D98*Hypothèses!$B$24</f>
        <v>26.25</v>
      </c>
    </row>
    <row r="100" customFormat="false" ht="15" hidden="false" customHeight="false" outlineLevel="0" collapsed="false">
      <c r="A100" s="12" t="s">
        <v>57</v>
      </c>
      <c r="D100" s="13" t="n">
        <f aca="false">D98+D99</f>
        <v>157.5</v>
      </c>
    </row>
    <row r="102" customFormat="false" ht="15" hidden="false" customHeight="false" outlineLevel="0" collapsed="false">
      <c r="A102" s="7" t="s">
        <v>82</v>
      </c>
      <c r="B102" s="8"/>
      <c r="C102" s="8"/>
      <c r="D102" s="8"/>
    </row>
    <row r="103" customFormat="false" ht="15" hidden="false" customHeight="false" outlineLevel="0" collapsed="false">
      <c r="A103" s="4" t="s">
        <v>83</v>
      </c>
      <c r="B103" s="9" t="n">
        <v>0.5</v>
      </c>
      <c r="C103" s="10" t="n">
        <f aca="false">Hypothèses!$B$15</f>
        <v>550</v>
      </c>
      <c r="D103" s="10" t="n">
        <f aca="false">B103*C103</f>
        <v>275</v>
      </c>
    </row>
    <row r="104" customFormat="false" ht="15" hidden="false" customHeight="false" outlineLevel="0" collapsed="false">
      <c r="A104" s="4" t="s">
        <v>49</v>
      </c>
      <c r="B104" s="9" t="n">
        <v>0.25</v>
      </c>
      <c r="C104" s="10" t="n">
        <f aca="false">Hypothèses!$B$14</f>
        <v>200</v>
      </c>
      <c r="D104" s="10" t="n">
        <f aca="false">B104*C104</f>
        <v>50</v>
      </c>
    </row>
    <row r="105" customFormat="false" ht="15" hidden="false" customHeight="false" outlineLevel="0" collapsed="false">
      <c r="A105" s="4" t="s">
        <v>50</v>
      </c>
      <c r="B105" s="9" t="n">
        <v>0.75</v>
      </c>
      <c r="C105" s="10" t="n">
        <f aca="false">Hypothèses!$B$8</f>
        <v>500</v>
      </c>
      <c r="D105" s="10" t="n">
        <f aca="false">B105*C105</f>
        <v>375</v>
      </c>
    </row>
    <row r="106" customFormat="false" ht="15" hidden="false" customHeight="false" outlineLevel="0" collapsed="false">
      <c r="A106" s="4" t="s">
        <v>51</v>
      </c>
      <c r="B106" s="9" t="n">
        <v>0.5</v>
      </c>
      <c r="C106" s="10" t="n">
        <f aca="false">Hypothèses!$B$16</f>
        <v>300</v>
      </c>
      <c r="D106" s="10" t="n">
        <f aca="false">B106*C106</f>
        <v>150</v>
      </c>
    </row>
    <row r="107" customFormat="false" ht="15" hidden="false" customHeight="false" outlineLevel="0" collapsed="false">
      <c r="A107" s="4" t="s">
        <v>84</v>
      </c>
      <c r="B107" s="9" t="n">
        <v>1</v>
      </c>
      <c r="C107" s="10" t="n">
        <f aca="false">Hypothèses!$B$20</f>
        <v>300</v>
      </c>
      <c r="D107" s="10" t="n">
        <f aca="false">B107*C107</f>
        <v>300</v>
      </c>
    </row>
    <row r="108" customFormat="false" ht="15" hidden="false" customHeight="false" outlineLevel="0" collapsed="false">
      <c r="A108" s="4" t="s">
        <v>52</v>
      </c>
      <c r="D108" s="10" t="n">
        <f aca="false">D103+D104+D105+D106+D107</f>
        <v>1150</v>
      </c>
    </row>
    <row r="109" customFormat="false" ht="15" hidden="false" customHeight="false" outlineLevel="0" collapsed="false">
      <c r="A109" s="4" t="s">
        <v>53</v>
      </c>
      <c r="C109" s="11" t="n">
        <f aca="false">Hypothèses!$B$21</f>
        <v>0.05</v>
      </c>
      <c r="D109" s="10" t="n">
        <f aca="false">D108*Hypothèses!$B$21</f>
        <v>57.5</v>
      </c>
    </row>
    <row r="110" customFormat="false" ht="15" hidden="false" customHeight="false" outlineLevel="0" collapsed="false">
      <c r="A110" s="4" t="s">
        <v>54</v>
      </c>
      <c r="C110" s="11" t="n">
        <f aca="false">Hypothèses!$B$22</f>
        <v>0.03</v>
      </c>
      <c r="D110" s="10" t="n">
        <f aca="false">D108*Hypothèses!$B$22</f>
        <v>34.5</v>
      </c>
    </row>
    <row r="111" customFormat="false" ht="15" hidden="false" customHeight="false" outlineLevel="0" collapsed="false">
      <c r="A111" s="4" t="s">
        <v>55</v>
      </c>
      <c r="C111" s="11" t="n">
        <f aca="false">Hypothèses!$B$23</f>
        <v>0.05</v>
      </c>
      <c r="D111" s="10" t="n">
        <f aca="false">D108*Hypothèses!$B$23</f>
        <v>57.5</v>
      </c>
    </row>
    <row r="112" customFormat="false" ht="15" hidden="false" customHeight="false" outlineLevel="0" collapsed="false">
      <c r="A112" s="12" t="s">
        <v>56</v>
      </c>
      <c r="D112" s="13" t="n">
        <f aca="false">D108+D109+D110+D111</f>
        <v>1299.5</v>
      </c>
    </row>
    <row r="113" customFormat="false" ht="15" hidden="false" customHeight="false" outlineLevel="0" collapsed="false">
      <c r="A113" s="4" t="s">
        <v>42</v>
      </c>
      <c r="D113" s="10" t="n">
        <f aca="false">D112*Hypothèses!$B$24</f>
        <v>259.9</v>
      </c>
    </row>
    <row r="114" customFormat="false" ht="15" hidden="false" customHeight="false" outlineLevel="0" collapsed="false">
      <c r="A114" s="12" t="s">
        <v>57</v>
      </c>
      <c r="D114" s="13" t="n">
        <f aca="false">D112+D113</f>
        <v>1559.4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6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3" t="s">
        <v>4</v>
      </c>
      <c r="B1" s="3" t="s">
        <v>85</v>
      </c>
      <c r="C1" s="3" t="s">
        <v>86</v>
      </c>
      <c r="D1" s="3" t="s">
        <v>87</v>
      </c>
    </row>
    <row r="2" customFormat="false" ht="15" hidden="false" customHeight="false" outlineLevel="0" collapsed="false">
      <c r="A2" s="4" t="s">
        <v>47</v>
      </c>
      <c r="B2" s="10" t="n">
        <f aca="false">'BPU - Grille de prix'!D11</f>
        <v>1101.75</v>
      </c>
      <c r="C2" s="10" t="n">
        <f aca="false">'BPU - Grille de prix'!D13</f>
        <v>1322.1</v>
      </c>
      <c r="D2" s="4" t="s">
        <v>88</v>
      </c>
    </row>
    <row r="3" customFormat="false" ht="15" hidden="false" customHeight="false" outlineLevel="0" collapsed="false">
      <c r="A3" s="4" t="s">
        <v>58</v>
      </c>
      <c r="B3" s="10" t="n">
        <f aca="false">'BPU - Grille de prix'!D29</f>
        <v>4881.6</v>
      </c>
      <c r="C3" s="10" t="n">
        <f aca="false">'BPU - Grille de prix'!D31</f>
        <v>5857.92</v>
      </c>
      <c r="D3" s="4" t="s">
        <v>89</v>
      </c>
    </row>
    <row r="4" customFormat="false" ht="15" hidden="false" customHeight="false" outlineLevel="0" collapsed="false">
      <c r="A4" s="4" t="s">
        <v>66</v>
      </c>
      <c r="B4" s="10" t="n">
        <f aca="false">'BPU - Grille de prix'!D42</f>
        <v>2316.5</v>
      </c>
      <c r="C4" s="10" t="n">
        <f aca="false">'BPU - Grille de prix'!D44</f>
        <v>2779.8</v>
      </c>
      <c r="D4" s="4" t="s">
        <v>88</v>
      </c>
    </row>
    <row r="5" customFormat="false" ht="15" hidden="false" customHeight="false" outlineLevel="0" collapsed="false">
      <c r="A5" s="4" t="s">
        <v>69</v>
      </c>
      <c r="B5" s="10" t="n">
        <f aca="false">'BPU - Grille de prix'!D50</f>
        <v>262.5</v>
      </c>
      <c r="C5" s="10" t="n">
        <f aca="false">'BPU - Grille de prix'!D52</f>
        <v>315</v>
      </c>
      <c r="D5" s="4" t="s">
        <v>89</v>
      </c>
    </row>
    <row r="6" customFormat="false" ht="15" hidden="false" customHeight="false" outlineLevel="0" collapsed="false">
      <c r="A6" s="4" t="s">
        <v>71</v>
      </c>
      <c r="B6" s="10" t="n">
        <f aca="false">'BPU - Grille de prix'!D72</f>
        <v>12407.4</v>
      </c>
      <c r="C6" s="10" t="n">
        <f aca="false">'BPU - Grille de prix'!D74</f>
        <v>14888.88</v>
      </c>
      <c r="D6" s="4" t="s">
        <v>89</v>
      </c>
    </row>
    <row r="7" customFormat="false" ht="15" hidden="false" customHeight="false" outlineLevel="0" collapsed="false">
      <c r="A7" s="4" t="s">
        <v>78</v>
      </c>
      <c r="B7" s="10" t="n">
        <f aca="false">'BPU - Grille de prix'!D90</f>
        <v>7034.25</v>
      </c>
      <c r="C7" s="10" t="n">
        <f aca="false">'BPU - Grille de prix'!D92</f>
        <v>8441.1</v>
      </c>
      <c r="D7" s="4" t="s">
        <v>89</v>
      </c>
    </row>
    <row r="8" customFormat="false" ht="15" hidden="false" customHeight="false" outlineLevel="0" collapsed="false">
      <c r="A8" s="4" t="s">
        <v>80</v>
      </c>
      <c r="B8" s="10" t="n">
        <f aca="false">'BPU - Grille de prix'!D98</f>
        <v>131.25</v>
      </c>
      <c r="C8" s="10" t="n">
        <f aca="false">'BPU - Grille de prix'!D100</f>
        <v>157.5</v>
      </c>
      <c r="D8" s="4" t="s">
        <v>89</v>
      </c>
    </row>
    <row r="9" customFormat="false" ht="15" hidden="false" customHeight="false" outlineLevel="0" collapsed="false">
      <c r="A9" s="4" t="s">
        <v>82</v>
      </c>
      <c r="B9" s="10" t="n">
        <f aca="false">'BPU - Grille de prix'!D112</f>
        <v>1299.5</v>
      </c>
      <c r="C9" s="10" t="n">
        <f aca="false">'BPU - Grille de prix'!D114</f>
        <v>1559.4</v>
      </c>
      <c r="D9" s="4" t="s">
        <v>88</v>
      </c>
    </row>
    <row r="11" customFormat="false" ht="15" hidden="false" customHeight="false" outlineLevel="0" collapsed="false">
      <c r="A11" s="1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2026-09-08T12:01:37Z</dcterms:created>
  <dc:creator>openpyxl</dc:creator>
  <dc:description/>
  <dc:language>en-US</dc:language>
  <cp:lastModifiedBy/>
  <dcterms:modified xsi:type="dcterms:W3CDTF">2026-09-08T12:01:37Z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