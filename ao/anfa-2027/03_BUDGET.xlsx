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Format court" sheetId="2" state="visible" r:id="rId4"/>
    <sheet name="Format long" sheetId="3" state="visible" r:id="rId5"/>
    <sheet name="Logistique vague" sheetId="4" state="visible" r:id="rId6"/>
    <sheet name="Synthèse" sheetId="5" state="visible" r:id="rId7"/>
    <sheet name="Calendrier 202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<sst xmlns="http://schemas.openxmlformats.org/spreadsheetml/2006/main" count="247" uniqueCount="189">
  <si>
    <t xml:space="preserve">GRILLE DE COÛTS — AO ANFA 2027, Lot 1 vidéos métiers et formations (Pôle Audiovisuel L'Etudiant)</t>
  </si>
  <si>
    <t xml:space="preserve">⚠️ DOCUMENT INTERNE — NE PAS TRANSMETTRE AU CLIENT (coûts de revient, sources et référentiel interne). Cellules bleu sur jaune = valeurs modifiables ; tout le reste recalcule.</t>
  </si>
  <si>
    <t xml:space="preserve">Poste</t>
  </si>
  <si>
    <t xml:space="preserve">Valeur</t>
  </si>
  <si>
    <t xml:space="preserve">Unité</t>
  </si>
  <si>
    <t xml:space="preserve">Source</t>
  </si>
  <si>
    <t xml:space="preserve">TJM — SCÉNARIO B (repli freelances, tarifs marché — si la bande passante de la cellule est faible)</t>
  </si>
  <si>
    <t xml:space="preserve">JRI — cadreur/journaliste reporter d'images (réalise et cadre sur le terrain)</t>
  </si>
  <si>
    <t xml:space="preserve">€/j</t>
  </si>
  <si>
    <t xml:space="preserve">BPU IDFM Grille Coûts Production — COMETES / Malt (tarif en vigueur de la grille). Remplace le réalisateur (décision Martin, 28/10)</t>
  </si>
  <si>
    <t xml:space="preserve">Ingénieur·e du son / 2e caméra</t>
  </si>
  <si>
    <t xml:space="preserve">BPU IDFM Grille Coûts Production — COMETES / CCPA</t>
  </si>
  <si>
    <t xml:space="preserve">Monteur·se</t>
  </si>
  <si>
    <t xml:space="preserve">BPU IDFM Grille Coûts Production — COMETES / Malt</t>
  </si>
  <si>
    <t xml:space="preserve">Motion designer (habillage Métiers Services Auto)</t>
  </si>
  <si>
    <t xml:space="preserve">BPU IDFM Grille Coûts Production — Marché pub / Malt</t>
  </si>
  <si>
    <t xml:space="preserve">Étalonneur·se</t>
  </si>
  <si>
    <t xml:space="preserve">Mixeur·se</t>
  </si>
  <si>
    <t xml:space="preserve">TAUX — SCÉNARIO A (base de l'offre : équipe interne de la cellule vidéo)</t>
  </si>
  <si>
    <t xml:space="preserve">Taux interne (jour/personne, masse salariale)</t>
  </si>
  <si>
    <t xml:space="preserve">Référentiel de Coûts Internes Pôle Audiovisuel — validé Direction</t>
  </si>
  <si>
    <t xml:space="preserve">Matériel interne (caméras, son, lumière de la cellule)</t>
  </si>
  <si>
    <t xml:space="preserve">Amortissement exclu du référentiel interne — à valoriser par les OPS si besoin</t>
  </si>
  <si>
    <t xml:space="preserve">COMMUN AUX DEUX SCÉNARIOS</t>
  </si>
  <si>
    <t xml:space="preserve">Location kit tournage léger (scénario B)</t>
  </si>
  <si>
    <t xml:space="preserve">BPU IDFM Grille Coûts Production — reportage / ITW</t>
  </si>
  <si>
    <t xml:space="preserve">Stockage rushes par vidéo</t>
  </si>
  <si>
    <t xml:space="preserve">€</t>
  </si>
  <si>
    <t xml:space="preserve">BPU IDFM Grille Coûts Production</t>
  </si>
  <si>
    <t xml:space="preserve">Pilotage (% du sous-total de production)</t>
  </si>
  <si>
    <t xml:space="preserve">%</t>
  </si>
  <si>
    <t xml:space="preserve">Méthode de pilotage AO — 15 % (relation client à l'année : lancement, calage campagnes ANFA, bilans)</t>
  </si>
  <si>
    <t xml:space="preserve">Assurance production</t>
  </si>
  <si>
    <t xml:space="preserve">BPU IDFM Grille Coûts Production — obligatoire pour tout projet avec tournage</t>
  </si>
  <si>
    <t xml:space="preserve">Provision imprévus (météo, retakes, intervenant absent)</t>
  </si>
  <si>
    <t xml:space="preserve">TVA</t>
  </si>
  <si>
    <t xml:space="preserve">Taux standard</t>
  </si>
  <si>
    <t xml:space="preserve">LOGISTIQUE D'UNE VAGUE DE TOURNAGE EN RÉGION</t>
  </si>
  <si>
    <t xml:space="preserve">Personnes en déplacement</t>
  </si>
  <si>
    <t xml:space="preserve">pers</t>
  </si>
  <si>
    <t xml:space="preserve">Équipe légère : JRI + son / 2e caméra (sobriété, critère RSE)</t>
  </si>
  <si>
    <t xml:space="preserve">Jours de tournage par vague</t>
  </si>
  <si>
    <t xml:space="preserve">j</t>
  </si>
  <si>
    <t xml:space="preserve">Fiche Approche : J1 entreprise (court métier + long), J2 CFA (court formation + long), J3 long</t>
  </si>
  <si>
    <t xml:space="preserve">Nuits sur place par vague</t>
  </si>
  <si>
    <t xml:space="preserve">nuits</t>
  </si>
  <si>
    <t xml:space="preserve">Arrivée la veille de J1 ; sites potentiellement dans deux villes</t>
  </si>
  <si>
    <t xml:space="preserve">Transport A/R Paris–région par personne</t>
  </si>
  <si>
    <t xml:space="preserve">€/pers</t>
  </si>
  <si>
    <t xml:space="preserve">Estimation marché — train 2de classe, destination non arrêtée</t>
  </si>
  <si>
    <t xml:space="preserve">Nuitée hôtel par personne</t>
  </si>
  <si>
    <t xml:space="preserve">€/nuit/pers</t>
  </si>
  <si>
    <t xml:space="preserve">Estimation marché — hôtel pro province (référence CYRCE/BIOT2)</t>
  </si>
  <si>
    <t xml:space="preserve">Per diem repas par personne et par jour</t>
  </si>
  <si>
    <t xml:space="preserve">€/j/pers</t>
  </si>
  <si>
    <t xml:space="preserve">Barème URSSAF frais professionnels 2026 — base 2 repas/jour (référence CYRCE/BIOT2)</t>
  </si>
  <si>
    <t xml:space="preserve">Location véhicule sur place</t>
  </si>
  <si>
    <t xml:space="preserve">Estimation marché — utilitaire léger / citadine</t>
  </si>
  <si>
    <t xml:space="preserve">VOLUMES ET CLÉS DE RÉPARTITION</t>
  </si>
  <si>
    <t xml:space="preserve">Nombre de vagues de tournage par an</t>
  </si>
  <si>
    <t xml:space="preserve">vagues</t>
  </si>
  <si>
    <t xml:space="preserve">Calendrier 2027 : fin février–mars, puis mai</t>
  </si>
  <si>
    <t xml:space="preserve">Formats courts par an (60–120 s)</t>
  </si>
  <si>
    <t xml:space="preserve">vidéos</t>
  </si>
  <si>
    <t xml:space="preserve">CDC §3.1 + réponse ANFA du 28/10 : 2 métiers + 2 formations a minima</t>
  </si>
  <si>
    <t xml:space="preserve">Formats longs par an (10–15 min)</t>
  </si>
  <si>
    <t xml:space="preserve">CDC §3.1 + réponse ANFA du 28/10 : 2 thématiques par an</t>
  </si>
  <si>
    <t xml:space="preserve">Part de la logistique d'une vague imputée à chaque court</t>
  </si>
  <si>
    <t xml:space="preserve">Clé interne : une vague = 2 courts (25 % chacun) + 1 long (50 %)</t>
  </si>
  <si>
    <t xml:space="preserve">Part de la logistique d'une vague imputée au long</t>
  </si>
  <si>
    <t xml:space="preserve">Clé interne — la somme des clés doit faire 100 %</t>
  </si>
  <si>
    <t xml:space="preserve">CADRE CLIENT</t>
  </si>
  <si>
    <t xml:space="preserve">Budget annuel maximum Lot 1 (HT), production + diffusion</t>
  </si>
  <si>
    <t xml:space="preserve">RC / CDC §4 — accord-cadre sans minimum ; achats médias inclus (réponse ANFA du 28/10)</t>
  </si>
  <si>
    <t xml:space="preserve">Repère marge plancher OPS (multiplicateur sur coût de revient)</t>
  </si>
  <si>
    <t xml:space="preserve">x</t>
  </si>
  <si>
    <t xml:space="preserve">BPU IDFM — Repères de marge (×1,3 plancher, ×1,5 standard secteur public). Décision OPS</t>
  </si>
  <si>
    <t xml:space="preserve">Contrôle : somme des clés de répartition d'une vague</t>
  </si>
  <si>
    <t xml:space="preserve">Doit afficher 100 %</t>
  </si>
  <si>
    <t xml:space="preserve">FORMAT COURT — vidéo métier ou formation, 60–120 s, verticale, immersive (4 par an minimum)</t>
  </si>
  <si>
    <t xml:space="preserve">Scénario A (base) = équipe interne de la cellule vidéo (taux 200 €/j) · Scénario B (repli) = freelances aux tarifs marché, si la bande passante est faible. Jours en bleu = modifiables.</t>
  </si>
  <si>
    <t xml:space="preserve">Jours / Qté</t>
  </si>
  <si>
    <t xml:space="preserve">Taux A</t>
  </si>
  <si>
    <t xml:space="preserve">Coût A (interne)</t>
  </si>
  <si>
    <t xml:space="preserve">Taux B</t>
  </si>
  <si>
    <t xml:space="preserve">Coût B (freelances)</t>
  </si>
  <si>
    <t xml:space="preserve">PRÉPARATION</t>
  </si>
  <si>
    <t xml:space="preserve">Préparation : brief des intervenants, autorisations droit à l'image (mineurs), feuille de route</t>
  </si>
  <si>
    <t xml:space="preserve">TOURNAGE (½ journée, mutualisée avec le format long sur le même site)</t>
  </si>
  <si>
    <t xml:space="preserve">JRI (réalise et cadre)</t>
  </si>
  <si>
    <t xml:space="preserve">Kit tournage léger</t>
  </si>
  <si>
    <t xml:space="preserve">Supervision interne (tournage, relation intervenants)</t>
  </si>
  <si>
    <t xml:space="preserve">POST-PRODUCTION</t>
  </si>
  <si>
    <t xml:space="preserve">Dérush + montage vertical</t>
  </si>
  <si>
    <t xml:space="preserve">Habillage / motion (charte Métiers Services Auto)</t>
  </si>
  <si>
    <t xml:space="preserve">Étalonnage</t>
  </si>
  <si>
    <t xml:space="preserve">Mix</t>
  </si>
  <si>
    <t xml:space="preserve">Sous-titrage (lecture sans le son)</t>
  </si>
  <si>
    <t xml:space="preserve">Retours ANFA — 2 allers-retours inclus</t>
  </si>
  <si>
    <t xml:space="preserve">Stockage rushes</t>
  </si>
  <si>
    <t xml:space="preserve">Sous-total production</t>
  </si>
  <si>
    <t xml:space="preserve">Pilotage</t>
  </si>
  <si>
    <t xml:space="preserve">Provision imprévus</t>
  </si>
  <si>
    <t xml:space="preserve">COÛT DE REVIENT PRODUCTION (HT) — par vidéo, hors logistique</t>
  </si>
  <si>
    <t xml:space="preserve">Un court est tourné en une demi-journée, sur le même site et le même jour qu'une partie du format long. La logistique (transport, hôtel, repas) est chiffrée dans l'onglet « Logistique vague » et imputée dans la Synthèse.</t>
  </si>
  <si>
    <t xml:space="preserve">FORMAT LONG — vidéo thématique, 10–15 min, verticale, immersive, chapitrée (2 par an minimum)</t>
  </si>
  <si>
    <t xml:space="preserve">ÉCRITURE ET PRÉPARATION</t>
  </si>
  <si>
    <t xml:space="preserve">Écriture : angle, structure chapitrée, choix des intervenants avec l'ANFA</t>
  </si>
  <si>
    <t xml:space="preserve">Préparation : repérages à distance, brief, autorisations droit à l'image</t>
  </si>
  <si>
    <t xml:space="preserve">TOURNAGE (2 jours : ½ j sur chaque site des courts + 1 j dédié)</t>
  </si>
  <si>
    <t xml:space="preserve">Supervision interne</t>
  </si>
  <si>
    <t xml:space="preserve">Dérush</t>
  </si>
  <si>
    <t xml:space="preserve">Montage (10–15 min, vertical, chapitré)</t>
  </si>
  <si>
    <t xml:space="preserve">Habillage / motion (titres de chapitres, charte)</t>
  </si>
  <si>
    <t xml:space="preserve">Sous-titrage</t>
  </si>
  <si>
    <t xml:space="preserve">FORMAT INNOVANT — déclinaisons courtes issues du long</t>
  </si>
  <si>
    <t xml:space="preserve">Déclinaisons courtes (3 extraits de 60 s, ½ j chacune)</t>
  </si>
  <si>
    <t xml:space="preserve">Les 3 déclinaisons courtes tirées de chaque long répondent à l'appel aux « formats innovants » du CDC et nourrissent la diffusion (6 courts de plus par an pour un coût marginal). Ligne à passer à 0 si les OPS ne la retiennent pas.</t>
  </si>
  <si>
    <t xml:space="preserve">LOGISTIQUE D'UNE VAGUE DE TOURNAGE EN RÉGION (2 courts + 1 long) — identique dans les deux scénarios</t>
  </si>
  <si>
    <t xml:space="preserve">Calcul</t>
  </si>
  <si>
    <t xml:space="preserve">Quantité</t>
  </si>
  <si>
    <t xml:space="preserve">Coût</t>
  </si>
  <si>
    <t xml:space="preserve">Transport A/R Paris–région</t>
  </si>
  <si>
    <t xml:space="preserve">personnes × A/R</t>
  </si>
  <si>
    <t xml:space="preserve">Hôtel</t>
  </si>
  <si>
    <t xml:space="preserve">personnes × nuits</t>
  </si>
  <si>
    <t xml:space="preserve">Per diem repas</t>
  </si>
  <si>
    <t xml:space="preserve">personnes × (jours de tournage + 1)</t>
  </si>
  <si>
    <t xml:space="preserve">jours de tournage</t>
  </si>
  <si>
    <t xml:space="preserve">Sous-total logistique</t>
  </si>
  <si>
    <t xml:space="preserve">COÛT LOGISTIQUE PAR VAGUE (HT)</t>
  </si>
  <si>
    <t xml:space="preserve">Un seul déplacement sert trois vidéos : c'est l'argument RSE (moins de trajets, empreinte carbone réduite) et la condition pour tenir le budget. Tournages mutualisés acceptés par l'ANFA (réponse du 28/10).</t>
  </si>
  <si>
    <t xml:space="preserve">SYNTHÈSE — scénario annuel 2027, comparé au budget maximum du Lot 1</t>
  </si>
  <si>
    <t xml:space="preserve">Total A (interne)</t>
  </si>
  <si>
    <t xml:space="preserve">Total B (freelances)</t>
  </si>
  <si>
    <t xml:space="preserve">COÛT UNITAIRE COMPLET PAR FORMAT (production + part de logistique) — base des prix unitaires pour les bons de commande</t>
  </si>
  <si>
    <t xml:space="preserve">Format</t>
  </si>
  <si>
    <t xml:space="preserve">Coût unitaire A</t>
  </si>
  <si>
    <t xml:space="preserve">Coût unitaire B</t>
  </si>
  <si>
    <t xml:space="preserve">Format court (60–120 s)</t>
  </si>
  <si>
    <t xml:space="preserve">Format long (10–15 min) + 3 déclinaisons courtes</t>
  </si>
  <si>
    <t xml:space="preserve">SCÉNARIO ANNUEL MINIMUM (volumes du cahier des charges)</t>
  </si>
  <si>
    <t xml:space="preserve">Formats courts — production</t>
  </si>
  <si>
    <t xml:space="preserve">Formats longs (avec 3 déclinaisons chacun) — production</t>
  </si>
  <si>
    <t xml:space="preserve">Logistique des vagues de tournage en région</t>
  </si>
  <si>
    <t xml:space="preserve">COÛT DE REVIENT PRODUCTION ANNUEL (HT)</t>
  </si>
  <si>
    <t xml:space="preserve">   Vidéos livrées par an (courts + longs + 3 déclinaisons par long)</t>
  </si>
  <si>
    <t xml:space="preserve">Coût de revient production annuel (TTC)</t>
  </si>
  <si>
    <t xml:space="preserve">COMPARAISON AU BUDGET CLIENT (HT) — 58 k€ = production + diffusion + achats médias + marge</t>
  </si>
  <si>
    <t xml:space="preserve">Budget annuel maximum Lot 1 (HT)</t>
  </si>
  <si>
    <t xml:space="preserve">Part du budget absorbée par la production (coût de revient)</t>
  </si>
  <si>
    <t xml:space="preserve">Reste avant marge : médiatisation + marge OPS</t>
  </si>
  <si>
    <t xml:space="preserve">Production au prix plancher OPS (coût × repère de marge)</t>
  </si>
  <si>
    <t xml:space="preserve">Reste pour la médiatisation après marge plancher</t>
  </si>
  <si>
    <t xml:space="preserve">BASCULE A → B (si la cellule n'a pas la bande passante)</t>
  </si>
  <si>
    <t xml:space="preserve">Surcoût de revient si la production bascule en freelances (HT)</t>
  </si>
  <si>
    <t xml:space="preserve">Surcoût en % du scénario A</t>
  </si>
  <si>
    <t xml:space="preserve">⚠️ Le coût A est de la masse salariale déjà payée (taux 200 €/j), pas une dépense de trésorerie : il mesure la charge de la cellule, pas un achat. Matériel interne non valorisé (hors référentiel).</t>
  </si>
  <si>
    <t xml:space="preserve">⚠️ La marge et la répartition médiatisation / marge relèvent des OPS. Le repère ×1,3 n'est affiché que pour visualiser ce qu'il reste à la diffusion ; ce n'est pas une décision.</t>
  </si>
  <si>
    <t xml:space="preserve">⚠️ Achats médias : la publicité ciblée vers les mineurs est très restreinte sur les grandes plateformes européennes ; la diffusion organique sur nos canaux reste l'atout principal (à chiffrer par les RS).</t>
  </si>
  <si>
    <t xml:space="preserve">CALENDRIER 2027 — hypothèse de production en deux vagues (sous réserve de notification en janvier)</t>
  </si>
  <si>
    <t xml:space="preserve">Période</t>
  </si>
  <si>
    <t xml:space="preserve">Étape</t>
  </si>
  <si>
    <t xml:space="preserve">Vidéos concernées</t>
  </si>
  <si>
    <t xml:space="preserve">Coût de revient A</t>
  </si>
  <si>
    <t xml:space="preserve">Coût de revient B</t>
  </si>
  <si>
    <t xml:space="preserve">Janvier</t>
  </si>
  <si>
    <t xml:space="preserve">Réunion de lancement ANFA : calage campagnes, sujets, circuit de validation, indicateurs</t>
  </si>
  <si>
    <t xml:space="preserve">—</t>
  </si>
  <si>
    <t xml:space="preserve">Février</t>
  </si>
  <si>
    <t xml:space="preserve">Préprod vague 1 : choix des sites avec l'ANFA, brief intervenants, autorisations</t>
  </si>
  <si>
    <t xml:space="preserve">Fin février – mars</t>
  </si>
  <si>
    <t xml:space="preserve">Tournage vague 1</t>
  </si>
  <si>
    <t xml:space="preserve">1 court métier + 1 court formation + long n°1</t>
  </si>
  <si>
    <t xml:space="preserve">Mars – avril</t>
  </si>
  <si>
    <t xml:space="preserve">Post-prod vague 1, validations ANFA, diffusion des courts (choix d'orientation de fin de 3e, portes ouvertes CFA)</t>
  </si>
  <si>
    <t xml:space="preserve">Avril – mai</t>
  </si>
  <si>
    <t xml:space="preserve">Préprod vague 2</t>
  </si>
  <si>
    <t xml:space="preserve">Mai</t>
  </si>
  <si>
    <t xml:space="preserve">Tournage vague 2 (avant la période du Bac)</t>
  </si>
  <si>
    <t xml:space="preserve">1 court métier + 1 court formation + long n°2</t>
  </si>
  <si>
    <t xml:space="preserve">Juin – juillet</t>
  </si>
  <si>
    <t xml:space="preserve">Post-prod vague 2</t>
  </si>
  <si>
    <t xml:space="preserve">Septembre – octobre</t>
  </si>
  <si>
    <t xml:space="preserve">Diffusion de rentrée, déclinaisons, relais prescripteurs</t>
  </si>
  <si>
    <t xml:space="preserve">Novembre – décembre</t>
  </si>
  <si>
    <t xml:space="preserve">Bilan annuel quantitatif et qualitatif (base de la décision de reconduction)</t>
  </si>
  <si>
    <t xml:space="preserve">TOTAL (doit égaler la Synthèse)</t>
  </si>
  <si>
    <t xml:space="preserve">Contrôle : écart avec la Synthèse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</si>
</sst>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.0%"/>
    <numFmt numFmtId="167" formatCode="0"/>
    <numFmt numFmtId="168" formatCode="0.0\x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E0E0E0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3"/>
      <c r="C2" s="3"/>
      <c r="D2" s="3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23.85" hidden="false" customHeight="false" outlineLevel="0" collapsed="false">
      <c r="A4" s="2" t="s">
        <v>6</v>
      </c>
      <c r="B4" s="3"/>
      <c r="C4" s="3"/>
      <c r="D4" s="3"/>
    </row>
    <row r="5" customFormat="false" ht="19.4" hidden="false" customHeight="false" outlineLevel="0" collapsed="false">
      <c r="A5" s="5" t="s">
        <v>7</v>
      </c>
      <c r="B5" s="6" t="n">
        <v>550</v>
      </c>
      <c r="C5" s="7" t="s">
        <v>8</v>
      </c>
      <c r="D5" s="8" t="s">
        <v>9</v>
      </c>
    </row>
    <row r="6" customFormat="false" ht="15" hidden="false" customHeight="false" outlineLevel="0" collapsed="false">
      <c r="A6" s="5" t="s">
        <v>10</v>
      </c>
      <c r="B6" s="6" t="n">
        <v>500</v>
      </c>
      <c r="C6" s="7" t="s">
        <v>8</v>
      </c>
      <c r="D6" s="8" t="s">
        <v>11</v>
      </c>
    </row>
    <row r="7" customFormat="false" ht="15" hidden="false" customHeight="false" outlineLevel="0" collapsed="false">
      <c r="A7" s="5" t="s">
        <v>12</v>
      </c>
      <c r="B7" s="6" t="n">
        <v>500</v>
      </c>
      <c r="C7" s="7" t="s">
        <v>8</v>
      </c>
      <c r="D7" s="8" t="s">
        <v>13</v>
      </c>
    </row>
    <row r="8" customFormat="false" ht="15" hidden="false" customHeight="false" outlineLevel="0" collapsed="false">
      <c r="A8" s="5" t="s">
        <v>14</v>
      </c>
      <c r="B8" s="6" t="n">
        <v>600</v>
      </c>
      <c r="C8" s="7" t="s">
        <v>8</v>
      </c>
      <c r="D8" s="8" t="s">
        <v>15</v>
      </c>
    </row>
    <row r="9" customFormat="false" ht="15" hidden="false" customHeight="false" outlineLevel="0" collapsed="false">
      <c r="A9" s="5" t="s">
        <v>16</v>
      </c>
      <c r="B9" s="6" t="n">
        <v>480</v>
      </c>
      <c r="C9" s="7" t="s">
        <v>8</v>
      </c>
      <c r="D9" s="8" t="s">
        <v>13</v>
      </c>
    </row>
    <row r="10" customFormat="false" ht="15" hidden="false" customHeight="false" outlineLevel="0" collapsed="false">
      <c r="A10" s="5" t="s">
        <v>17</v>
      </c>
      <c r="B10" s="6" t="n">
        <v>480</v>
      </c>
      <c r="C10" s="7" t="s">
        <v>8</v>
      </c>
      <c r="D10" s="8" t="s">
        <v>11</v>
      </c>
    </row>
    <row r="11" customFormat="false" ht="23.85" hidden="false" customHeight="false" outlineLevel="0" collapsed="false">
      <c r="A11" s="2" t="s">
        <v>18</v>
      </c>
      <c r="B11" s="3"/>
      <c r="C11" s="3"/>
      <c r="D11" s="3"/>
    </row>
    <row r="12" customFormat="false" ht="15" hidden="false" customHeight="false" outlineLevel="0" collapsed="false">
      <c r="A12" s="5" t="s">
        <v>19</v>
      </c>
      <c r="B12" s="6" t="n">
        <v>200</v>
      </c>
      <c r="C12" s="7" t="s">
        <v>8</v>
      </c>
      <c r="D12" s="8" t="s">
        <v>20</v>
      </c>
    </row>
    <row r="13" customFormat="false" ht="15" hidden="false" customHeight="false" outlineLevel="0" collapsed="false">
      <c r="A13" s="5" t="s">
        <v>21</v>
      </c>
      <c r="B13" s="6" t="n">
        <v>0</v>
      </c>
      <c r="C13" s="7" t="s">
        <v>8</v>
      </c>
      <c r="D13" s="8" t="s">
        <v>22</v>
      </c>
    </row>
    <row r="14" customFormat="false" ht="15" hidden="false" customHeight="false" outlineLevel="0" collapsed="false">
      <c r="A14" s="2" t="s">
        <v>23</v>
      </c>
      <c r="B14" s="3"/>
      <c r="C14" s="3"/>
      <c r="D14" s="3"/>
    </row>
    <row r="15" customFormat="false" ht="15" hidden="false" customHeight="false" outlineLevel="0" collapsed="false">
      <c r="A15" s="5" t="s">
        <v>24</v>
      </c>
      <c r="B15" s="6" t="n">
        <v>300</v>
      </c>
      <c r="C15" s="7" t="s">
        <v>8</v>
      </c>
      <c r="D15" s="8" t="s">
        <v>25</v>
      </c>
    </row>
    <row r="16" customFormat="false" ht="15" hidden="false" customHeight="false" outlineLevel="0" collapsed="false">
      <c r="A16" s="5" t="s">
        <v>26</v>
      </c>
      <c r="B16" s="6" t="n">
        <v>50</v>
      </c>
      <c r="C16" s="7" t="s">
        <v>27</v>
      </c>
      <c r="D16" s="8" t="s">
        <v>28</v>
      </c>
    </row>
    <row r="17" customFormat="false" ht="19.4" hidden="false" customHeight="false" outlineLevel="0" collapsed="false">
      <c r="A17" s="5" t="s">
        <v>29</v>
      </c>
      <c r="B17" s="9" t="n">
        <v>0.15</v>
      </c>
      <c r="C17" s="7" t="s">
        <v>30</v>
      </c>
      <c r="D17" s="8" t="s">
        <v>31</v>
      </c>
    </row>
    <row r="18" customFormat="false" ht="15" hidden="false" customHeight="false" outlineLevel="0" collapsed="false">
      <c r="A18" s="5" t="s">
        <v>32</v>
      </c>
      <c r="B18" s="9" t="n">
        <v>0.03</v>
      </c>
      <c r="C18" s="7" t="s">
        <v>30</v>
      </c>
      <c r="D18" s="8" t="s">
        <v>33</v>
      </c>
    </row>
    <row r="19" customFormat="false" ht="15" hidden="false" customHeight="false" outlineLevel="0" collapsed="false">
      <c r="A19" s="5" t="s">
        <v>34</v>
      </c>
      <c r="B19" s="9" t="n">
        <v>0.05</v>
      </c>
      <c r="C19" s="7" t="s">
        <v>30</v>
      </c>
      <c r="D19" s="8" t="s">
        <v>33</v>
      </c>
    </row>
    <row r="20" customFormat="false" ht="15" hidden="false" customHeight="false" outlineLevel="0" collapsed="false">
      <c r="A20" s="5" t="s">
        <v>35</v>
      </c>
      <c r="B20" s="9" t="n">
        <v>0.2</v>
      </c>
      <c r="C20" s="7" t="s">
        <v>30</v>
      </c>
      <c r="D20" s="8" t="s">
        <v>36</v>
      </c>
    </row>
    <row r="21" customFormat="false" ht="15" hidden="false" customHeight="false" outlineLevel="0" collapsed="false">
      <c r="A21" s="2" t="s">
        <v>37</v>
      </c>
      <c r="B21" s="3"/>
      <c r="C21" s="3"/>
      <c r="D21" s="3"/>
    </row>
    <row r="22" customFormat="false" ht="15" hidden="false" customHeight="false" outlineLevel="0" collapsed="false">
      <c r="A22" s="5" t="s">
        <v>38</v>
      </c>
      <c r="B22" s="10" t="n">
        <v>2</v>
      </c>
      <c r="C22" s="7" t="s">
        <v>39</v>
      </c>
      <c r="D22" s="8" t="s">
        <v>40</v>
      </c>
    </row>
    <row r="23" customFormat="false" ht="15" hidden="false" customHeight="false" outlineLevel="0" collapsed="false">
      <c r="A23" s="5" t="s">
        <v>41</v>
      </c>
      <c r="B23" s="10" t="n">
        <v>3</v>
      </c>
      <c r="C23" s="7" t="s">
        <v>42</v>
      </c>
      <c r="D23" s="8" t="s">
        <v>43</v>
      </c>
    </row>
    <row r="24" customFormat="false" ht="15" hidden="false" customHeight="false" outlineLevel="0" collapsed="false">
      <c r="A24" s="5" t="s">
        <v>44</v>
      </c>
      <c r="B24" s="10" t="n">
        <v>3</v>
      </c>
      <c r="C24" s="7" t="s">
        <v>45</v>
      </c>
      <c r="D24" s="8" t="s">
        <v>46</v>
      </c>
    </row>
    <row r="25" customFormat="false" ht="15" hidden="false" customHeight="false" outlineLevel="0" collapsed="false">
      <c r="A25" s="5" t="s">
        <v>47</v>
      </c>
      <c r="B25" s="6" t="n">
        <v>150</v>
      </c>
      <c r="C25" s="7" t="s">
        <v>48</v>
      </c>
      <c r="D25" s="8" t="s">
        <v>49</v>
      </c>
    </row>
    <row r="26" customFormat="false" ht="15" hidden="false" customHeight="false" outlineLevel="0" collapsed="false">
      <c r="A26" s="5" t="s">
        <v>50</v>
      </c>
      <c r="B26" s="6" t="n">
        <v>95</v>
      </c>
      <c r="C26" s="7" t="s">
        <v>51</v>
      </c>
      <c r="D26" s="8" t="s">
        <v>52</v>
      </c>
    </row>
    <row r="27" customFormat="false" ht="15" hidden="false" customHeight="false" outlineLevel="0" collapsed="false">
      <c r="A27" s="5" t="s">
        <v>53</v>
      </c>
      <c r="B27" s="6" t="n">
        <v>40</v>
      </c>
      <c r="C27" s="7" t="s">
        <v>54</v>
      </c>
      <c r="D27" s="8" t="s">
        <v>55</v>
      </c>
    </row>
    <row r="28" customFormat="false" ht="15" hidden="false" customHeight="false" outlineLevel="0" collapsed="false">
      <c r="A28" s="5" t="s">
        <v>56</v>
      </c>
      <c r="B28" s="6" t="n">
        <v>70</v>
      </c>
      <c r="C28" s="7" t="s">
        <v>8</v>
      </c>
      <c r="D28" s="8" t="s">
        <v>57</v>
      </c>
    </row>
    <row r="29" customFormat="false" ht="15" hidden="false" customHeight="false" outlineLevel="0" collapsed="false">
      <c r="A29" s="2" t="s">
        <v>58</v>
      </c>
      <c r="B29" s="3"/>
      <c r="C29" s="3"/>
      <c r="D29" s="3"/>
    </row>
    <row r="30" customFormat="false" ht="15" hidden="false" customHeight="false" outlineLevel="0" collapsed="false">
      <c r="A30" s="5" t="s">
        <v>59</v>
      </c>
      <c r="B30" s="10" t="n">
        <v>2</v>
      </c>
      <c r="C30" s="7" t="s">
        <v>60</v>
      </c>
      <c r="D30" s="8" t="s">
        <v>61</v>
      </c>
    </row>
    <row r="31" customFormat="false" ht="15" hidden="false" customHeight="false" outlineLevel="0" collapsed="false">
      <c r="A31" s="5" t="s">
        <v>62</v>
      </c>
      <c r="B31" s="10" t="n">
        <v>4</v>
      </c>
      <c r="C31" s="7" t="s">
        <v>63</v>
      </c>
      <c r="D31" s="8" t="s">
        <v>64</v>
      </c>
    </row>
    <row r="32" customFormat="false" ht="15" hidden="false" customHeight="false" outlineLevel="0" collapsed="false">
      <c r="A32" s="5" t="s">
        <v>65</v>
      </c>
      <c r="B32" s="10" t="n">
        <v>2</v>
      </c>
      <c r="C32" s="7" t="s">
        <v>63</v>
      </c>
      <c r="D32" s="8" t="s">
        <v>66</v>
      </c>
    </row>
    <row r="33" customFormat="false" ht="15" hidden="false" customHeight="false" outlineLevel="0" collapsed="false">
      <c r="A33" s="5" t="s">
        <v>67</v>
      </c>
      <c r="B33" s="9" t="n">
        <v>0.25</v>
      </c>
      <c r="C33" s="7" t="s">
        <v>30</v>
      </c>
      <c r="D33" s="8" t="s">
        <v>68</v>
      </c>
    </row>
    <row r="34" customFormat="false" ht="15" hidden="false" customHeight="false" outlineLevel="0" collapsed="false">
      <c r="A34" s="5" t="s">
        <v>69</v>
      </c>
      <c r="B34" s="9" t="n">
        <v>0.5</v>
      </c>
      <c r="C34" s="7" t="s">
        <v>30</v>
      </c>
      <c r="D34" s="8" t="s">
        <v>70</v>
      </c>
    </row>
    <row r="35" customFormat="false" ht="15" hidden="false" customHeight="false" outlineLevel="0" collapsed="false">
      <c r="A35" s="2" t="s">
        <v>71</v>
      </c>
      <c r="B35" s="3"/>
      <c r="C35" s="3"/>
      <c r="D35" s="3"/>
    </row>
    <row r="36" customFormat="false" ht="15" hidden="false" customHeight="false" outlineLevel="0" collapsed="false">
      <c r="A36" s="5" t="s">
        <v>72</v>
      </c>
      <c r="B36" s="6" t="n">
        <v>58000</v>
      </c>
      <c r="C36" s="7" t="s">
        <v>27</v>
      </c>
      <c r="D36" s="8" t="s">
        <v>73</v>
      </c>
    </row>
    <row r="37" customFormat="false" ht="15" hidden="false" customHeight="false" outlineLevel="0" collapsed="false">
      <c r="A37" s="5" t="s">
        <v>74</v>
      </c>
      <c r="B37" s="11" t="n">
        <v>1.3</v>
      </c>
      <c r="C37" s="7" t="s">
        <v>75</v>
      </c>
      <c r="D37" s="8" t="s">
        <v>76</v>
      </c>
    </row>
    <row r="38" customFormat="false" ht="15" hidden="false" customHeight="false" outlineLevel="0" collapsed="false">
      <c r="A38" s="12" t="s">
        <v>77</v>
      </c>
      <c r="B38" s="13" t="n">
        <f aca="false">2*B33+B34</f>
        <v>1</v>
      </c>
      <c r="D38" s="12" t="s">
        <v>78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79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80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2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customFormat="false" ht="15" hidden="false" customHeight="false" outlineLevel="0" collapsed="false">
      <c r="A4" s="2" t="s">
        <v>86</v>
      </c>
      <c r="B4" s="3"/>
      <c r="C4" s="3"/>
      <c r="D4" s="3"/>
      <c r="E4" s="3"/>
      <c r="F4" s="3"/>
    </row>
    <row r="5" customFormat="false" ht="22.35" hidden="false" customHeight="false" outlineLevel="0" collapsed="false">
      <c r="A5" s="5" t="s">
        <v>87</v>
      </c>
      <c r="B5" s="14" t="n">
        <v>0.5</v>
      </c>
      <c r="C5" s="15" t="n">
        <f aca="false">Hypothèses!$B$12</f>
        <v>200</v>
      </c>
      <c r="D5" s="16" t="n">
        <f aca="false">B5*C5</f>
        <v>100</v>
      </c>
      <c r="E5" s="15" t="n">
        <f aca="false">Hypothèses!$B$12</f>
        <v>200</v>
      </c>
      <c r="F5" s="16" t="n">
        <f aca="false">B5*E5</f>
        <v>100</v>
      </c>
    </row>
    <row r="6" customFormat="false" ht="23.85" hidden="false" customHeight="false" outlineLevel="0" collapsed="false">
      <c r="A6" s="2" t="s">
        <v>88</v>
      </c>
      <c r="B6" s="3"/>
      <c r="C6" s="3"/>
      <c r="D6" s="3"/>
      <c r="E6" s="3"/>
      <c r="F6" s="3"/>
    </row>
    <row r="7" customFormat="false" ht="15" hidden="false" customHeight="false" outlineLevel="0" collapsed="false">
      <c r="A7" s="5" t="s">
        <v>89</v>
      </c>
      <c r="B7" s="14" t="n">
        <v>0.5</v>
      </c>
      <c r="C7" s="15" t="n">
        <f aca="false">Hypothèses!$B$12</f>
        <v>200</v>
      </c>
      <c r="D7" s="16" t="n">
        <f aca="false">B7*C7</f>
        <v>100</v>
      </c>
      <c r="E7" s="15" t="n">
        <f aca="false">Hypothèses!$B$5</f>
        <v>550</v>
      </c>
      <c r="F7" s="16" t="n">
        <f aca="false">B7*E7</f>
        <v>275</v>
      </c>
    </row>
    <row r="8" customFormat="false" ht="15" hidden="false" customHeight="false" outlineLevel="0" collapsed="false">
      <c r="A8" s="5" t="s">
        <v>10</v>
      </c>
      <c r="B8" s="14" t="n">
        <v>0.5</v>
      </c>
      <c r="C8" s="15" t="n">
        <f aca="false">Hypothèses!$B$12</f>
        <v>200</v>
      </c>
      <c r="D8" s="16" t="n">
        <f aca="false">B8*C8</f>
        <v>100</v>
      </c>
      <c r="E8" s="15" t="n">
        <f aca="false">Hypothèses!$B$6</f>
        <v>500</v>
      </c>
      <c r="F8" s="16" t="n">
        <f aca="false">B8*E8</f>
        <v>250</v>
      </c>
    </row>
    <row r="9" customFormat="false" ht="15" hidden="false" customHeight="false" outlineLevel="0" collapsed="false">
      <c r="A9" s="5" t="s">
        <v>90</v>
      </c>
      <c r="B9" s="14" t="n">
        <v>0.5</v>
      </c>
      <c r="C9" s="15" t="n">
        <f aca="false">Hypothèses!$B$13</f>
        <v>0</v>
      </c>
      <c r="D9" s="16" t="n">
        <f aca="false">B9*C9</f>
        <v>0</v>
      </c>
      <c r="E9" s="15" t="n">
        <f aca="false">Hypothèses!$B$15</f>
        <v>300</v>
      </c>
      <c r="F9" s="16" t="n">
        <f aca="false">B9*E9</f>
        <v>150</v>
      </c>
    </row>
    <row r="10" customFormat="false" ht="15" hidden="false" customHeight="false" outlineLevel="0" collapsed="false">
      <c r="A10" s="5" t="s">
        <v>91</v>
      </c>
      <c r="B10" s="14" t="n">
        <v>0.25</v>
      </c>
      <c r="C10" s="15" t="n">
        <f aca="false">Hypothèses!$B$12</f>
        <v>200</v>
      </c>
      <c r="D10" s="16" t="n">
        <f aca="false">B10*C10</f>
        <v>50</v>
      </c>
      <c r="E10" s="15" t="n">
        <f aca="false">Hypothèses!$B$12</f>
        <v>200</v>
      </c>
      <c r="F10" s="16" t="n">
        <f aca="false">B10*E10</f>
        <v>50</v>
      </c>
    </row>
    <row r="11" customFormat="false" ht="15" hidden="false" customHeight="false" outlineLevel="0" collapsed="false">
      <c r="A11" s="2" t="s">
        <v>92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5" t="s">
        <v>93</v>
      </c>
      <c r="B12" s="14" t="n">
        <v>1.5</v>
      </c>
      <c r="C12" s="15" t="n">
        <f aca="false">Hypothèses!$B$12</f>
        <v>200</v>
      </c>
      <c r="D12" s="16" t="n">
        <f aca="false">B12*C12</f>
        <v>300</v>
      </c>
      <c r="E12" s="15" t="n">
        <f aca="false">Hypothèses!$B$7</f>
        <v>500</v>
      </c>
      <c r="F12" s="16" t="n">
        <f aca="false">B12*E12</f>
        <v>750</v>
      </c>
    </row>
    <row r="13" customFormat="false" ht="15" hidden="false" customHeight="false" outlineLevel="0" collapsed="false">
      <c r="A13" s="5" t="s">
        <v>94</v>
      </c>
      <c r="B13" s="14" t="n">
        <v>0.5</v>
      </c>
      <c r="C13" s="15" t="n">
        <f aca="false">Hypothèses!$B$12</f>
        <v>200</v>
      </c>
      <c r="D13" s="16" t="n">
        <f aca="false">B13*C13</f>
        <v>100</v>
      </c>
      <c r="E13" s="15" t="n">
        <f aca="false">Hypothèses!$B$8</f>
        <v>600</v>
      </c>
      <c r="F13" s="16" t="n">
        <f aca="false">B13*E13</f>
        <v>300</v>
      </c>
    </row>
    <row r="14" customFormat="false" ht="15" hidden="false" customHeight="false" outlineLevel="0" collapsed="false">
      <c r="A14" s="5" t="s">
        <v>95</v>
      </c>
      <c r="B14" s="14" t="n">
        <v>0.25</v>
      </c>
      <c r="C14" s="15" t="n">
        <f aca="false">Hypothèses!$B$12</f>
        <v>200</v>
      </c>
      <c r="D14" s="16" t="n">
        <f aca="false">B14*C14</f>
        <v>50</v>
      </c>
      <c r="E14" s="15" t="n">
        <f aca="false">Hypothèses!$B$9</f>
        <v>480</v>
      </c>
      <c r="F14" s="16" t="n">
        <f aca="false">B14*E14</f>
        <v>120</v>
      </c>
    </row>
    <row r="15" customFormat="false" ht="15" hidden="false" customHeight="false" outlineLevel="0" collapsed="false">
      <c r="A15" s="5" t="s">
        <v>96</v>
      </c>
      <c r="B15" s="14" t="n">
        <v>0.25</v>
      </c>
      <c r="C15" s="15" t="n">
        <f aca="false">Hypothèses!$B$12</f>
        <v>200</v>
      </c>
      <c r="D15" s="16" t="n">
        <f aca="false">B15*C15</f>
        <v>50</v>
      </c>
      <c r="E15" s="15" t="n">
        <f aca="false">Hypothèses!$B$10</f>
        <v>480</v>
      </c>
      <c r="F15" s="16" t="n">
        <f aca="false">B15*E15</f>
        <v>120</v>
      </c>
    </row>
    <row r="16" customFormat="false" ht="15" hidden="false" customHeight="false" outlineLevel="0" collapsed="false">
      <c r="A16" s="5" t="s">
        <v>97</v>
      </c>
      <c r="B16" s="14" t="n">
        <v>0.25</v>
      </c>
      <c r="C16" s="15" t="n">
        <f aca="false">Hypothèses!$B$12</f>
        <v>200</v>
      </c>
      <c r="D16" s="16" t="n">
        <f aca="false">B16*C16</f>
        <v>50</v>
      </c>
      <c r="E16" s="15" t="n">
        <f aca="false">Hypothèses!$B$7</f>
        <v>500</v>
      </c>
      <c r="F16" s="16" t="n">
        <f aca="false">B16*E16</f>
        <v>125</v>
      </c>
    </row>
    <row r="17" customFormat="false" ht="15" hidden="false" customHeight="false" outlineLevel="0" collapsed="false">
      <c r="A17" s="5" t="s">
        <v>98</v>
      </c>
      <c r="B17" s="14" t="n">
        <v>0.5</v>
      </c>
      <c r="C17" s="15" t="n">
        <f aca="false">Hypothèses!$B$12</f>
        <v>200</v>
      </c>
      <c r="D17" s="16" t="n">
        <f aca="false">B17*C17</f>
        <v>100</v>
      </c>
      <c r="E17" s="15" t="n">
        <f aca="false">Hypothèses!$B$7</f>
        <v>500</v>
      </c>
      <c r="F17" s="16" t="n">
        <f aca="false">B17*E17</f>
        <v>250</v>
      </c>
    </row>
    <row r="18" customFormat="false" ht="15" hidden="false" customHeight="false" outlineLevel="0" collapsed="false">
      <c r="A18" s="5" t="s">
        <v>99</v>
      </c>
      <c r="B18" s="14" t="n">
        <v>1</v>
      </c>
      <c r="C18" s="15" t="n">
        <f aca="false">Hypothèses!$B$16</f>
        <v>50</v>
      </c>
      <c r="D18" s="16" t="n">
        <f aca="false">B18*C18</f>
        <v>50</v>
      </c>
      <c r="E18" s="15" t="n">
        <f aca="false">Hypothèses!$B$16</f>
        <v>50</v>
      </c>
      <c r="F18" s="16" t="n">
        <f aca="false">B18*E18</f>
        <v>50</v>
      </c>
    </row>
    <row r="19" customFormat="false" ht="15" hidden="false" customHeight="false" outlineLevel="0" collapsed="false">
      <c r="A19" s="2" t="s">
        <v>100</v>
      </c>
      <c r="B19" s="3"/>
      <c r="C19" s="3"/>
      <c r="D19" s="17" t="n">
        <f aca="false">SUM(D5:D18)</f>
        <v>1050</v>
      </c>
      <c r="E19" s="3"/>
      <c r="F19" s="17" t="n">
        <f aca="false">SUM(F5:F18)</f>
        <v>2540</v>
      </c>
    </row>
    <row r="20" customFormat="false" ht="15" hidden="false" customHeight="false" outlineLevel="0" collapsed="false">
      <c r="A20" s="7" t="s">
        <v>101</v>
      </c>
      <c r="C20" s="18" t="n">
        <f aca="false">Hypothèses!$B$17</f>
        <v>0.15</v>
      </c>
      <c r="D20" s="16" t="n">
        <f aca="false">D19*C20</f>
        <v>157.5</v>
      </c>
      <c r="E20" s="18" t="n">
        <f aca="false">Hypothèses!$B$17</f>
        <v>0.15</v>
      </c>
      <c r="F20" s="16" t="n">
        <f aca="false">F19*E20</f>
        <v>381</v>
      </c>
    </row>
    <row r="21" customFormat="false" ht="15" hidden="false" customHeight="false" outlineLevel="0" collapsed="false">
      <c r="A21" s="7" t="s">
        <v>32</v>
      </c>
      <c r="C21" s="18" t="n">
        <f aca="false">Hypothèses!$B$18</f>
        <v>0.03</v>
      </c>
      <c r="D21" s="16" t="n">
        <f aca="false">D19*C21</f>
        <v>31.5</v>
      </c>
      <c r="E21" s="18" t="n">
        <f aca="false">Hypothèses!$B$18</f>
        <v>0.03</v>
      </c>
      <c r="F21" s="16" t="n">
        <f aca="false">F19*E21</f>
        <v>76.2</v>
      </c>
    </row>
    <row r="22" customFormat="false" ht="15" hidden="false" customHeight="false" outlineLevel="0" collapsed="false">
      <c r="A22" s="7" t="s">
        <v>102</v>
      </c>
      <c r="C22" s="18" t="n">
        <f aca="false">Hypothèses!$B$19</f>
        <v>0.05</v>
      </c>
      <c r="D22" s="16" t="n">
        <f aca="false">D19*C22</f>
        <v>52.5</v>
      </c>
      <c r="E22" s="18" t="n">
        <f aca="false">Hypothèses!$B$19</f>
        <v>0.05</v>
      </c>
      <c r="F22" s="16" t="n">
        <f aca="false">F19*E22</f>
        <v>127</v>
      </c>
    </row>
    <row r="23" customFormat="false" ht="23.85" hidden="false" customHeight="false" outlineLevel="0" collapsed="false">
      <c r="A23" s="2" t="s">
        <v>103</v>
      </c>
      <c r="B23" s="3"/>
      <c r="C23" s="3"/>
      <c r="D23" s="17" t="n">
        <f aca="false">D19+D20+D21+D22</f>
        <v>1291.5</v>
      </c>
      <c r="E23" s="3"/>
      <c r="F23" s="17" t="n">
        <f aca="false">F19+F20+F21+F22</f>
        <v>3124.2</v>
      </c>
    </row>
    <row r="25" customFormat="false" ht="39.75" hidden="false" customHeight="true" outlineLevel="0" collapsed="false">
      <c r="A25" s="19" t="s">
        <v>104</v>
      </c>
      <c r="B25" s="19"/>
      <c r="C25" s="19"/>
      <c r="D25" s="19"/>
      <c r="E25" s="19"/>
      <c r="F25" s="19"/>
    </row>
  </sheetData>
  <mergeCells count="2">
    <mergeCell ref="A1:F1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80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2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customFormat="false" ht="15" hidden="false" customHeight="false" outlineLevel="0" collapsed="false">
      <c r="A4" s="2" t="s">
        <v>106</v>
      </c>
      <c r="B4" s="3"/>
      <c r="C4" s="3"/>
      <c r="D4" s="3"/>
      <c r="E4" s="3"/>
      <c r="F4" s="3"/>
    </row>
    <row r="5" customFormat="false" ht="22.35" hidden="false" customHeight="false" outlineLevel="0" collapsed="false">
      <c r="A5" s="5" t="s">
        <v>107</v>
      </c>
      <c r="B5" s="14" t="n">
        <v>1.5</v>
      </c>
      <c r="C5" s="15" t="n">
        <f aca="false">Hypothèses!$B$12</f>
        <v>200</v>
      </c>
      <c r="D5" s="16" t="n">
        <f aca="false">B5*C5</f>
        <v>300</v>
      </c>
      <c r="E5" s="15" t="n">
        <f aca="false">Hypothèses!$B$5</f>
        <v>550</v>
      </c>
      <c r="F5" s="16" t="n">
        <f aca="false">B5*E5</f>
        <v>825</v>
      </c>
    </row>
    <row r="6" customFormat="false" ht="15" hidden="false" customHeight="false" outlineLevel="0" collapsed="false">
      <c r="A6" s="5" t="s">
        <v>108</v>
      </c>
      <c r="B6" s="14" t="n">
        <v>1</v>
      </c>
      <c r="C6" s="15" t="n">
        <f aca="false">Hypothèses!$B$12</f>
        <v>200</v>
      </c>
      <c r="D6" s="16" t="n">
        <f aca="false">B6*C6</f>
        <v>200</v>
      </c>
      <c r="E6" s="15" t="n">
        <f aca="false">Hypothèses!$B$12</f>
        <v>200</v>
      </c>
      <c r="F6" s="16" t="n">
        <f aca="false">B6*E6</f>
        <v>200</v>
      </c>
    </row>
    <row r="7" customFormat="false" ht="23.85" hidden="false" customHeight="false" outlineLevel="0" collapsed="false">
      <c r="A7" s="2" t="s">
        <v>109</v>
      </c>
      <c r="B7" s="3"/>
      <c r="C7" s="3"/>
      <c r="D7" s="3"/>
      <c r="E7" s="3"/>
      <c r="F7" s="3"/>
    </row>
    <row r="8" customFormat="false" ht="15" hidden="false" customHeight="false" outlineLevel="0" collapsed="false">
      <c r="A8" s="5" t="s">
        <v>89</v>
      </c>
      <c r="B8" s="14" t="n">
        <v>2</v>
      </c>
      <c r="C8" s="15" t="n">
        <f aca="false">Hypothèses!$B$12</f>
        <v>200</v>
      </c>
      <c r="D8" s="16" t="n">
        <f aca="false">B8*C8</f>
        <v>400</v>
      </c>
      <c r="E8" s="15" t="n">
        <f aca="false">Hypothèses!$B$5</f>
        <v>550</v>
      </c>
      <c r="F8" s="16" t="n">
        <f aca="false">B8*E8</f>
        <v>1100</v>
      </c>
    </row>
    <row r="9" customFormat="false" ht="15" hidden="false" customHeight="false" outlineLevel="0" collapsed="false">
      <c r="A9" s="5" t="s">
        <v>10</v>
      </c>
      <c r="B9" s="14" t="n">
        <v>2</v>
      </c>
      <c r="C9" s="15" t="n">
        <f aca="false">Hypothèses!$B$12</f>
        <v>200</v>
      </c>
      <c r="D9" s="16" t="n">
        <f aca="false">B9*C9</f>
        <v>400</v>
      </c>
      <c r="E9" s="15" t="n">
        <f aca="false">Hypothèses!$B$6</f>
        <v>500</v>
      </c>
      <c r="F9" s="16" t="n">
        <f aca="false">B9*E9</f>
        <v>1000</v>
      </c>
    </row>
    <row r="10" customFormat="false" ht="15" hidden="false" customHeight="false" outlineLevel="0" collapsed="false">
      <c r="A10" s="5" t="s">
        <v>90</v>
      </c>
      <c r="B10" s="14" t="n">
        <v>2</v>
      </c>
      <c r="C10" s="15" t="n">
        <f aca="false">Hypothèses!$B$13</f>
        <v>0</v>
      </c>
      <c r="D10" s="16" t="n">
        <f aca="false">B10*C10</f>
        <v>0</v>
      </c>
      <c r="E10" s="15" t="n">
        <f aca="false">Hypothèses!$B$15</f>
        <v>300</v>
      </c>
      <c r="F10" s="16" t="n">
        <f aca="false">B10*E10</f>
        <v>600</v>
      </c>
    </row>
    <row r="11" customFormat="false" ht="15" hidden="false" customHeight="false" outlineLevel="0" collapsed="false">
      <c r="A11" s="5" t="s">
        <v>110</v>
      </c>
      <c r="B11" s="14" t="n">
        <v>0.5</v>
      </c>
      <c r="C11" s="15" t="n">
        <f aca="false">Hypothèses!$B$12</f>
        <v>200</v>
      </c>
      <c r="D11" s="16" t="n">
        <f aca="false">B11*C11</f>
        <v>100</v>
      </c>
      <c r="E11" s="15" t="n">
        <f aca="false">Hypothèses!$B$12</f>
        <v>200</v>
      </c>
      <c r="F11" s="16" t="n">
        <f aca="false">B11*E11</f>
        <v>100</v>
      </c>
    </row>
    <row r="12" customFormat="false" ht="15" hidden="false" customHeight="false" outlineLevel="0" collapsed="false">
      <c r="A12" s="2" t="s">
        <v>92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111</v>
      </c>
      <c r="B13" s="14" t="n">
        <v>1.5</v>
      </c>
      <c r="C13" s="15" t="n">
        <f aca="false">Hypothèses!$B$12</f>
        <v>200</v>
      </c>
      <c r="D13" s="16" t="n">
        <f aca="false">B13*C13</f>
        <v>300</v>
      </c>
      <c r="E13" s="15" t="n">
        <f aca="false">Hypothèses!$B$7</f>
        <v>500</v>
      </c>
      <c r="F13" s="16" t="n">
        <f aca="false">B13*E13</f>
        <v>750</v>
      </c>
    </row>
    <row r="14" customFormat="false" ht="15" hidden="false" customHeight="false" outlineLevel="0" collapsed="false">
      <c r="A14" s="5" t="s">
        <v>112</v>
      </c>
      <c r="B14" s="14" t="n">
        <v>5</v>
      </c>
      <c r="C14" s="15" t="n">
        <f aca="false">Hypothèses!$B$12</f>
        <v>200</v>
      </c>
      <c r="D14" s="16" t="n">
        <f aca="false">B14*C14</f>
        <v>1000</v>
      </c>
      <c r="E14" s="15" t="n">
        <f aca="false">Hypothèses!$B$7</f>
        <v>500</v>
      </c>
      <c r="F14" s="16" t="n">
        <f aca="false">B14*E14</f>
        <v>2500</v>
      </c>
    </row>
    <row r="15" customFormat="false" ht="15" hidden="false" customHeight="false" outlineLevel="0" collapsed="false">
      <c r="A15" s="5" t="s">
        <v>113</v>
      </c>
      <c r="B15" s="14" t="n">
        <v>1.5</v>
      </c>
      <c r="C15" s="15" t="n">
        <f aca="false">Hypothèses!$B$12</f>
        <v>200</v>
      </c>
      <c r="D15" s="16" t="n">
        <f aca="false">B15*C15</f>
        <v>300</v>
      </c>
      <c r="E15" s="15" t="n">
        <f aca="false">Hypothèses!$B$8</f>
        <v>600</v>
      </c>
      <c r="F15" s="16" t="n">
        <f aca="false">B15*E15</f>
        <v>900</v>
      </c>
    </row>
    <row r="16" customFormat="false" ht="15" hidden="false" customHeight="false" outlineLevel="0" collapsed="false">
      <c r="A16" s="5" t="s">
        <v>95</v>
      </c>
      <c r="B16" s="14" t="n">
        <v>1</v>
      </c>
      <c r="C16" s="15" t="n">
        <f aca="false">Hypothèses!$B$12</f>
        <v>200</v>
      </c>
      <c r="D16" s="16" t="n">
        <f aca="false">B16*C16</f>
        <v>200</v>
      </c>
      <c r="E16" s="15" t="n">
        <f aca="false">Hypothèses!$B$9</f>
        <v>480</v>
      </c>
      <c r="F16" s="16" t="n">
        <f aca="false">B16*E16</f>
        <v>480</v>
      </c>
    </row>
    <row r="17" customFormat="false" ht="15" hidden="false" customHeight="false" outlineLevel="0" collapsed="false">
      <c r="A17" s="5" t="s">
        <v>96</v>
      </c>
      <c r="B17" s="14" t="n">
        <v>1</v>
      </c>
      <c r="C17" s="15" t="n">
        <f aca="false">Hypothèses!$B$12</f>
        <v>200</v>
      </c>
      <c r="D17" s="16" t="n">
        <f aca="false">B17*C17</f>
        <v>200</v>
      </c>
      <c r="E17" s="15" t="n">
        <f aca="false">Hypothèses!$B$10</f>
        <v>480</v>
      </c>
      <c r="F17" s="16" t="n">
        <f aca="false">B17*E17</f>
        <v>480</v>
      </c>
    </row>
    <row r="18" customFormat="false" ht="15" hidden="false" customHeight="false" outlineLevel="0" collapsed="false">
      <c r="A18" s="5" t="s">
        <v>114</v>
      </c>
      <c r="B18" s="14" t="n">
        <v>0.5</v>
      </c>
      <c r="C18" s="15" t="n">
        <f aca="false">Hypothèses!$B$12</f>
        <v>200</v>
      </c>
      <c r="D18" s="16" t="n">
        <f aca="false">B18*C18</f>
        <v>100</v>
      </c>
      <c r="E18" s="15" t="n">
        <f aca="false">Hypothèses!$B$7</f>
        <v>500</v>
      </c>
      <c r="F18" s="16" t="n">
        <f aca="false">B18*E18</f>
        <v>250</v>
      </c>
    </row>
    <row r="19" customFormat="false" ht="15" hidden="false" customHeight="false" outlineLevel="0" collapsed="false">
      <c r="A19" s="5" t="s">
        <v>98</v>
      </c>
      <c r="B19" s="14" t="n">
        <v>1</v>
      </c>
      <c r="C19" s="15" t="n">
        <f aca="false">Hypothèses!$B$12</f>
        <v>200</v>
      </c>
      <c r="D19" s="16" t="n">
        <f aca="false">B19*C19</f>
        <v>200</v>
      </c>
      <c r="E19" s="15" t="n">
        <f aca="false">Hypothèses!$B$7</f>
        <v>500</v>
      </c>
      <c r="F19" s="16" t="n">
        <f aca="false">B19*E19</f>
        <v>500</v>
      </c>
    </row>
    <row r="20" customFormat="false" ht="23.85" hidden="false" customHeight="false" outlineLevel="0" collapsed="false">
      <c r="A20" s="2" t="s">
        <v>115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5" t="s">
        <v>116</v>
      </c>
      <c r="B21" s="14" t="n">
        <v>1.5</v>
      </c>
      <c r="C21" s="15" t="n">
        <f aca="false">Hypothèses!$B$12</f>
        <v>200</v>
      </c>
      <c r="D21" s="16" t="n">
        <f aca="false">B21*C21</f>
        <v>300</v>
      </c>
      <c r="E21" s="15" t="n">
        <f aca="false">Hypothèses!$B$7</f>
        <v>500</v>
      </c>
      <c r="F21" s="16" t="n">
        <f aca="false">B21*E21</f>
        <v>750</v>
      </c>
    </row>
    <row r="22" customFormat="false" ht="15" hidden="false" customHeight="false" outlineLevel="0" collapsed="false">
      <c r="A22" s="5" t="s">
        <v>99</v>
      </c>
      <c r="B22" s="14" t="n">
        <v>1</v>
      </c>
      <c r="C22" s="15" t="n">
        <f aca="false">Hypothèses!$B$16</f>
        <v>50</v>
      </c>
      <c r="D22" s="16" t="n">
        <f aca="false">B22*C22</f>
        <v>50</v>
      </c>
      <c r="E22" s="15" t="n">
        <f aca="false">Hypothèses!$B$16</f>
        <v>50</v>
      </c>
      <c r="F22" s="16" t="n">
        <f aca="false">B22*E22</f>
        <v>50</v>
      </c>
    </row>
    <row r="23" customFormat="false" ht="15" hidden="false" customHeight="false" outlineLevel="0" collapsed="false">
      <c r="A23" s="2" t="s">
        <v>100</v>
      </c>
      <c r="B23" s="3"/>
      <c r="C23" s="3"/>
      <c r="D23" s="17" t="n">
        <f aca="false">SUM(D5:D22)</f>
        <v>4050</v>
      </c>
      <c r="E23" s="3"/>
      <c r="F23" s="17" t="n">
        <f aca="false">SUM(F5:F22)</f>
        <v>10485</v>
      </c>
    </row>
    <row r="24" customFormat="false" ht="15" hidden="false" customHeight="false" outlineLevel="0" collapsed="false">
      <c r="A24" s="7" t="s">
        <v>101</v>
      </c>
      <c r="C24" s="18" t="n">
        <f aca="false">Hypothèses!$B$17</f>
        <v>0.15</v>
      </c>
      <c r="D24" s="16" t="n">
        <f aca="false">D23*C24</f>
        <v>607.5</v>
      </c>
      <c r="E24" s="18" t="n">
        <f aca="false">Hypothèses!$B$17</f>
        <v>0.15</v>
      </c>
      <c r="F24" s="16" t="n">
        <f aca="false">F23*E24</f>
        <v>1572.75</v>
      </c>
    </row>
    <row r="25" customFormat="false" ht="15" hidden="false" customHeight="false" outlineLevel="0" collapsed="false">
      <c r="A25" s="7" t="s">
        <v>32</v>
      </c>
      <c r="C25" s="18" t="n">
        <f aca="false">Hypothèses!$B$18</f>
        <v>0.03</v>
      </c>
      <c r="D25" s="16" t="n">
        <f aca="false">D23*C25</f>
        <v>121.5</v>
      </c>
      <c r="E25" s="18" t="n">
        <f aca="false">Hypothèses!$B$18</f>
        <v>0.03</v>
      </c>
      <c r="F25" s="16" t="n">
        <f aca="false">F23*E25</f>
        <v>314.55</v>
      </c>
    </row>
    <row r="26" customFormat="false" ht="15" hidden="false" customHeight="false" outlineLevel="0" collapsed="false">
      <c r="A26" s="7" t="s">
        <v>102</v>
      </c>
      <c r="C26" s="18" t="n">
        <f aca="false">Hypothèses!$B$19</f>
        <v>0.05</v>
      </c>
      <c r="D26" s="16" t="n">
        <f aca="false">D23*C26</f>
        <v>202.5</v>
      </c>
      <c r="E26" s="18" t="n">
        <f aca="false">Hypothèses!$B$19</f>
        <v>0.05</v>
      </c>
      <c r="F26" s="16" t="n">
        <f aca="false">F23*E26</f>
        <v>524.25</v>
      </c>
    </row>
    <row r="27" customFormat="false" ht="23.85" hidden="false" customHeight="false" outlineLevel="0" collapsed="false">
      <c r="A27" s="2" t="s">
        <v>103</v>
      </c>
      <c r="B27" s="3"/>
      <c r="C27" s="3"/>
      <c r="D27" s="17" t="n">
        <f aca="false">D23+D24+D25+D26</f>
        <v>4981.5</v>
      </c>
      <c r="E27" s="3"/>
      <c r="F27" s="17" t="n">
        <f aca="false">F23+F24+F25+F26</f>
        <v>12896.55</v>
      </c>
    </row>
    <row r="29" customFormat="false" ht="39.75" hidden="false" customHeight="true" outlineLevel="0" collapsed="false">
      <c r="A29" s="19" t="s">
        <v>117</v>
      </c>
      <c r="B29" s="19"/>
      <c r="C29" s="19"/>
      <c r="D29" s="19"/>
      <c r="E29" s="19"/>
      <c r="F29" s="19"/>
    </row>
  </sheetData>
  <mergeCells count="2">
    <mergeCell ref="A1:F1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6"/>
  </cols>
  <sheetData>
    <row r="1" customFormat="false" ht="21.75" hidden="false" customHeight="true" outlineLevel="0" collapsed="false">
      <c r="A1" s="1" t="s">
        <v>118</v>
      </c>
      <c r="B1" s="1"/>
      <c r="C1" s="1"/>
      <c r="D1" s="1"/>
    </row>
    <row r="2" customFormat="false" ht="15" hidden="false" customHeight="false" outlineLevel="0" collapsed="false">
      <c r="A2" s="4" t="s">
        <v>2</v>
      </c>
      <c r="B2" s="4" t="s">
        <v>119</v>
      </c>
      <c r="C2" s="4" t="s">
        <v>120</v>
      </c>
      <c r="D2" s="4" t="s">
        <v>121</v>
      </c>
    </row>
    <row r="3" customFormat="false" ht="15" hidden="false" customHeight="false" outlineLevel="0" collapsed="false">
      <c r="A3" s="7" t="s">
        <v>122</v>
      </c>
      <c r="B3" s="20" t="s">
        <v>123</v>
      </c>
      <c r="C3" s="21" t="n">
        <f aca="false">Hypothèses!$B$22</f>
        <v>2</v>
      </c>
      <c r="D3" s="16" t="n">
        <f aca="false">C3*Hypothèses!$B$25</f>
        <v>300</v>
      </c>
    </row>
    <row r="4" customFormat="false" ht="15" hidden="false" customHeight="false" outlineLevel="0" collapsed="false">
      <c r="A4" s="7" t="s">
        <v>124</v>
      </c>
      <c r="B4" s="20" t="s">
        <v>125</v>
      </c>
      <c r="C4" s="21" t="n">
        <f aca="false">Hypothèses!$B$22*Hypothèses!$B$24</f>
        <v>6</v>
      </c>
      <c r="D4" s="16" t="n">
        <f aca="false">C4*Hypothèses!$B$26</f>
        <v>570</v>
      </c>
    </row>
    <row r="5" customFormat="false" ht="15" hidden="false" customHeight="false" outlineLevel="0" collapsed="false">
      <c r="A5" s="7" t="s">
        <v>126</v>
      </c>
      <c r="B5" s="20" t="s">
        <v>127</v>
      </c>
      <c r="C5" s="21" t="n">
        <f aca="false">Hypothèses!$B$22*(Hypothèses!$B$23+1)</f>
        <v>8</v>
      </c>
      <c r="D5" s="16" t="n">
        <f aca="false">C5*Hypothèses!$B$27</f>
        <v>320</v>
      </c>
    </row>
    <row r="6" customFormat="false" ht="15" hidden="false" customHeight="false" outlineLevel="0" collapsed="false">
      <c r="A6" s="7" t="s">
        <v>56</v>
      </c>
      <c r="B6" s="20" t="s">
        <v>128</v>
      </c>
      <c r="C6" s="21" t="n">
        <f aca="false">Hypothèses!$B$23</f>
        <v>3</v>
      </c>
      <c r="D6" s="16" t="n">
        <f aca="false">C6*Hypothèses!$B$28</f>
        <v>210</v>
      </c>
    </row>
    <row r="7" customFormat="false" ht="15" hidden="false" customHeight="false" outlineLevel="0" collapsed="false">
      <c r="A7" s="2" t="s">
        <v>129</v>
      </c>
      <c r="B7" s="3"/>
      <c r="C7" s="3"/>
      <c r="D7" s="17" t="n">
        <f aca="false">SUM(D3:D6)</f>
        <v>1400</v>
      </c>
    </row>
    <row r="8" customFormat="false" ht="15" hidden="false" customHeight="false" outlineLevel="0" collapsed="false">
      <c r="A8" s="7" t="s">
        <v>102</v>
      </c>
      <c r="C8" s="18" t="n">
        <f aca="false">Hypothèses!$B$19</f>
        <v>0.05</v>
      </c>
      <c r="D8" s="16" t="n">
        <f aca="false">D7*C8</f>
        <v>70</v>
      </c>
    </row>
    <row r="9" customFormat="false" ht="15" hidden="false" customHeight="false" outlineLevel="0" collapsed="false">
      <c r="A9" s="2" t="s">
        <v>130</v>
      </c>
      <c r="B9" s="3"/>
      <c r="C9" s="3"/>
      <c r="D9" s="17" t="n">
        <f aca="false">D7+D8</f>
        <v>1470</v>
      </c>
    </row>
    <row r="11" customFormat="false" ht="30" hidden="false" customHeight="true" outlineLevel="0" collapsed="false">
      <c r="A11" s="19" t="s">
        <v>131</v>
      </c>
      <c r="B11" s="19"/>
      <c r="C11" s="19"/>
      <c r="D11" s="19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132</v>
      </c>
      <c r="B1" s="1"/>
      <c r="C1" s="1"/>
      <c r="D1" s="1"/>
      <c r="E1" s="1"/>
    </row>
    <row r="2" customFormat="false" ht="15" hidden="false" customHeight="false" outlineLevel="0" collapsed="false">
      <c r="A2" s="4" t="s">
        <v>2</v>
      </c>
      <c r="B2" s="4" t="s">
        <v>120</v>
      </c>
      <c r="C2" s="4"/>
      <c r="D2" s="4" t="s">
        <v>133</v>
      </c>
      <c r="E2" s="4" t="s">
        <v>134</v>
      </c>
    </row>
    <row r="3" customFormat="false" ht="25.5" hidden="false" customHeight="true" outlineLevel="0" collapsed="false">
      <c r="A3" s="2" t="s">
        <v>135</v>
      </c>
      <c r="B3" s="3"/>
      <c r="C3" s="3"/>
      <c r="D3" s="3"/>
      <c r="E3" s="3"/>
    </row>
    <row r="4" customFormat="false" ht="15" hidden="false" customHeight="false" outlineLevel="0" collapsed="false">
      <c r="A4" s="4" t="s">
        <v>136</v>
      </c>
      <c r="B4" s="4"/>
      <c r="C4" s="4" t="s">
        <v>137</v>
      </c>
      <c r="D4" s="4"/>
      <c r="E4" s="4" t="s">
        <v>138</v>
      </c>
    </row>
    <row r="5" customFormat="false" ht="15" hidden="false" customHeight="false" outlineLevel="0" collapsed="false">
      <c r="A5" s="7" t="s">
        <v>139</v>
      </c>
      <c r="C5" s="16" t="n">
        <f aca="false">'Format court'!$D$23+'Logistique vague'!$D$9*Hypothèses!$B$33</f>
        <v>1659</v>
      </c>
      <c r="E5" s="16" t="n">
        <f aca="false">'Format court'!$F$23+'Logistique vague'!$D$9*Hypothèses!$B$33</f>
        <v>3491.7</v>
      </c>
    </row>
    <row r="6" customFormat="false" ht="15" hidden="false" customHeight="false" outlineLevel="0" collapsed="false">
      <c r="A6" s="7" t="s">
        <v>140</v>
      </c>
      <c r="C6" s="16" t="n">
        <f aca="false">'Format long'!$D$27+'Logistique vague'!$D$9*Hypothèses!$B$34</f>
        <v>5716.5</v>
      </c>
      <c r="E6" s="16" t="n">
        <f aca="false">'Format long'!$F$27+'Logistique vague'!$D$9*Hypothèses!$B$34</f>
        <v>13631.55</v>
      </c>
    </row>
    <row r="8" customFormat="false" ht="15" hidden="false" customHeight="false" outlineLevel="0" collapsed="false">
      <c r="A8" s="2" t="s">
        <v>141</v>
      </c>
      <c r="B8" s="3"/>
      <c r="C8" s="3"/>
      <c r="D8" s="3"/>
      <c r="E8" s="3"/>
    </row>
    <row r="9" customFormat="false" ht="15" hidden="false" customHeight="false" outlineLevel="0" collapsed="false">
      <c r="A9" s="4" t="s">
        <v>2</v>
      </c>
      <c r="B9" s="4" t="s">
        <v>120</v>
      </c>
      <c r="C9" s="4"/>
      <c r="D9" s="4" t="s">
        <v>133</v>
      </c>
      <c r="E9" s="4" t="s">
        <v>134</v>
      </c>
    </row>
    <row r="10" customFormat="false" ht="15" hidden="false" customHeight="false" outlineLevel="0" collapsed="false">
      <c r="A10" s="7" t="s">
        <v>142</v>
      </c>
      <c r="B10" s="21" t="n">
        <f aca="false">Hypothèses!$B$31</f>
        <v>4</v>
      </c>
      <c r="D10" s="16" t="n">
        <f aca="false">B10*'Format court'!$D$23</f>
        <v>5166</v>
      </c>
      <c r="E10" s="16" t="n">
        <f aca="false">B10*'Format court'!$F$23</f>
        <v>12496.8</v>
      </c>
    </row>
    <row r="11" customFormat="false" ht="15" hidden="false" customHeight="false" outlineLevel="0" collapsed="false">
      <c r="A11" s="7" t="s">
        <v>143</v>
      </c>
      <c r="B11" s="21" t="n">
        <f aca="false">Hypothèses!$B$32</f>
        <v>2</v>
      </c>
      <c r="D11" s="16" t="n">
        <f aca="false">B11*'Format long'!$D$27</f>
        <v>9963</v>
      </c>
      <c r="E11" s="16" t="n">
        <f aca="false">B11*'Format long'!$F$27</f>
        <v>25793.1</v>
      </c>
    </row>
    <row r="12" customFormat="false" ht="15" hidden="false" customHeight="false" outlineLevel="0" collapsed="false">
      <c r="A12" s="7" t="s">
        <v>144</v>
      </c>
      <c r="B12" s="21" t="n">
        <f aca="false">Hypothèses!$B$30</f>
        <v>2</v>
      </c>
      <c r="D12" s="16" t="n">
        <f aca="false">B12*'Logistique vague'!$D$9</f>
        <v>2940</v>
      </c>
      <c r="E12" s="16" t="n">
        <f aca="false">B12*'Logistique vague'!$D$9</f>
        <v>2940</v>
      </c>
    </row>
    <row r="13" customFormat="false" ht="15" hidden="false" customHeight="false" outlineLevel="0" collapsed="false">
      <c r="A13" s="2" t="s">
        <v>145</v>
      </c>
      <c r="B13" s="3"/>
      <c r="C13" s="3"/>
      <c r="D13" s="17" t="n">
        <f aca="false">SUM(D10:D12)</f>
        <v>18069</v>
      </c>
      <c r="E13" s="17" t="n">
        <f aca="false">SUM(E10:E12)</f>
        <v>41229.9</v>
      </c>
    </row>
    <row r="14" customFormat="false" ht="15" hidden="false" customHeight="false" outlineLevel="0" collapsed="false">
      <c r="A14" s="12" t="s">
        <v>146</v>
      </c>
      <c r="B14" s="22" t="n">
        <f aca="false">B10+B11*4</f>
        <v>12</v>
      </c>
    </row>
    <row r="15" customFormat="false" ht="15" hidden="false" customHeight="false" outlineLevel="0" collapsed="false">
      <c r="A15" s="7" t="s">
        <v>35</v>
      </c>
      <c r="D15" s="16" t="n">
        <f aca="false">D13*Hypothèses!$B$20</f>
        <v>3613.8</v>
      </c>
      <c r="E15" s="16" t="n">
        <f aca="false">E13*Hypothèses!$B$20</f>
        <v>8245.98</v>
      </c>
    </row>
    <row r="16" customFormat="false" ht="15" hidden="false" customHeight="false" outlineLevel="0" collapsed="false">
      <c r="A16" s="23" t="s">
        <v>147</v>
      </c>
      <c r="D16" s="24" t="n">
        <f aca="false">D13+D15</f>
        <v>21682.8</v>
      </c>
      <c r="E16" s="24" t="n">
        <f aca="false">E13+E15</f>
        <v>49475.88</v>
      </c>
    </row>
    <row r="18" customFormat="false" ht="23.85" hidden="false" customHeight="false" outlineLevel="0" collapsed="false">
      <c r="A18" s="2" t="s">
        <v>148</v>
      </c>
      <c r="B18" s="3"/>
      <c r="C18" s="3"/>
      <c r="D18" s="3"/>
      <c r="E18" s="3"/>
    </row>
    <row r="19" customFormat="false" ht="15" hidden="false" customHeight="false" outlineLevel="0" collapsed="false">
      <c r="A19" s="7" t="s">
        <v>149</v>
      </c>
      <c r="D19" s="15" t="n">
        <f aca="false">Hypothèses!$B$36</f>
        <v>58000</v>
      </c>
      <c r="E19" s="15" t="n">
        <f aca="false">Hypothèses!$B$36</f>
        <v>58000</v>
      </c>
    </row>
    <row r="20" customFormat="false" ht="15" hidden="false" customHeight="false" outlineLevel="0" collapsed="false">
      <c r="A20" s="7" t="s">
        <v>150</v>
      </c>
      <c r="D20" s="13" t="n">
        <f aca="false">D13/D19</f>
        <v>0.311534482758621</v>
      </c>
      <c r="E20" s="13" t="n">
        <f aca="false">E13/E19</f>
        <v>0.710860344827586</v>
      </c>
    </row>
    <row r="21" customFormat="false" ht="15" hidden="false" customHeight="false" outlineLevel="0" collapsed="false">
      <c r="A21" s="23" t="s">
        <v>151</v>
      </c>
      <c r="D21" s="24" t="n">
        <f aca="false">D19-D13</f>
        <v>39931</v>
      </c>
      <c r="E21" s="24" t="n">
        <f aca="false">E19-E13</f>
        <v>16770.1</v>
      </c>
    </row>
    <row r="22" customFormat="false" ht="15" hidden="false" customHeight="false" outlineLevel="0" collapsed="false">
      <c r="A22" s="7" t="s">
        <v>152</v>
      </c>
      <c r="D22" s="16" t="n">
        <f aca="false">D13*Hypothèses!$B$37</f>
        <v>23489.7</v>
      </c>
      <c r="E22" s="16" t="n">
        <f aca="false">E13*Hypothèses!$B$37</f>
        <v>53598.87</v>
      </c>
    </row>
    <row r="23" customFormat="false" ht="15" hidden="false" customHeight="false" outlineLevel="0" collapsed="false">
      <c r="A23" s="23" t="s">
        <v>153</v>
      </c>
      <c r="D23" s="17" t="n">
        <f aca="false">D19-D22</f>
        <v>34510.3</v>
      </c>
      <c r="E23" s="17" t="n">
        <f aca="false">E19-E22</f>
        <v>4401.13000000001</v>
      </c>
    </row>
    <row r="25" customFormat="false" ht="15" hidden="false" customHeight="false" outlineLevel="0" collapsed="false">
      <c r="A25" s="2" t="s">
        <v>154</v>
      </c>
      <c r="B25" s="3"/>
      <c r="C25" s="3"/>
      <c r="D25" s="3"/>
      <c r="E25" s="3"/>
    </row>
    <row r="26" customFormat="false" ht="15" hidden="false" customHeight="false" outlineLevel="0" collapsed="false">
      <c r="A26" s="7" t="s">
        <v>155</v>
      </c>
      <c r="E26" s="16" t="n">
        <f aca="false">E13-D13</f>
        <v>23160.9</v>
      </c>
    </row>
    <row r="27" customFormat="false" ht="15" hidden="false" customHeight="false" outlineLevel="0" collapsed="false">
      <c r="A27" s="7" t="s">
        <v>156</v>
      </c>
      <c r="E27" s="13" t="n">
        <f aca="false">IF(D13=0,0,(E13-D13)/D13)</f>
        <v>1.28180308816205</v>
      </c>
    </row>
    <row r="29" customFormat="false" ht="30" hidden="false" customHeight="true" outlineLevel="0" collapsed="false">
      <c r="A29" s="19" t="s">
        <v>157</v>
      </c>
      <c r="B29" s="19"/>
      <c r="C29" s="19"/>
      <c r="D29" s="19"/>
      <c r="E29" s="19"/>
    </row>
    <row r="30" customFormat="false" ht="30" hidden="false" customHeight="true" outlineLevel="0" collapsed="false">
      <c r="A30" s="19" t="s">
        <v>158</v>
      </c>
      <c r="B30" s="19"/>
      <c r="C30" s="19"/>
      <c r="D30" s="19"/>
      <c r="E30" s="19"/>
    </row>
    <row r="31" customFormat="false" ht="30" hidden="false" customHeight="true" outlineLevel="0" collapsed="false">
      <c r="A31" s="19" t="s">
        <v>159</v>
      </c>
      <c r="B31" s="19"/>
      <c r="C31" s="19"/>
      <c r="D31" s="19"/>
      <c r="E31" s="19"/>
    </row>
  </sheetData>
  <mergeCells count="4">
    <mergeCell ref="A1:E1"/>
    <mergeCell ref="A29:E29"/>
    <mergeCell ref="A30:E3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34"/>
    <col collapsed="false" customWidth="true" hidden="false" outlineLevel="0" max="5" min="4" style="0" width="17"/>
  </cols>
  <sheetData>
    <row r="1" customFormat="false" ht="21.75" hidden="false" customHeight="true" outlineLevel="0" collapsed="false">
      <c r="A1" s="1" t="s">
        <v>160</v>
      </c>
      <c r="B1" s="1"/>
      <c r="C1" s="1"/>
      <c r="D1" s="1"/>
      <c r="E1" s="1"/>
    </row>
    <row r="2" customFormat="false" ht="15" hidden="false" customHeight="false" outlineLevel="0" collapsed="false">
      <c r="A2" s="4" t="s">
        <v>161</v>
      </c>
      <c r="B2" s="4" t="s">
        <v>162</v>
      </c>
      <c r="C2" s="4" t="s">
        <v>163</v>
      </c>
      <c r="D2" s="4" t="s">
        <v>164</v>
      </c>
      <c r="E2" s="4" t="s">
        <v>165</v>
      </c>
    </row>
    <row r="3" customFormat="false" ht="27.75" hidden="false" customHeight="true" outlineLevel="0" collapsed="false">
      <c r="A3" s="23" t="s">
        <v>166</v>
      </c>
      <c r="B3" s="5" t="s">
        <v>167</v>
      </c>
      <c r="C3" s="5" t="s">
        <v>168</v>
      </c>
    </row>
    <row r="4" customFormat="false" ht="27.75" hidden="false" customHeight="true" outlineLevel="0" collapsed="false">
      <c r="A4" s="23" t="s">
        <v>169</v>
      </c>
      <c r="B4" s="5" t="s">
        <v>170</v>
      </c>
      <c r="C4" s="5" t="s">
        <v>168</v>
      </c>
    </row>
    <row r="5" customFormat="false" ht="27.75" hidden="false" customHeight="true" outlineLevel="0" collapsed="false">
      <c r="A5" s="23" t="s">
        <v>171</v>
      </c>
      <c r="B5" s="5" t="s">
        <v>172</v>
      </c>
      <c r="C5" s="5" t="s">
        <v>173</v>
      </c>
      <c r="D5" s="16" t="n">
        <f aca="false">2*'Format court'!$D$23+'Format long'!$D$27+'Logistique vague'!$D$9</f>
        <v>9034.5</v>
      </c>
      <c r="E5" s="16" t="n">
        <f aca="false">2*'Format court'!$F$23+'Format long'!$F$27+'Logistique vague'!$D$9</f>
        <v>20614.95</v>
      </c>
    </row>
    <row r="6" customFormat="false" ht="27.75" hidden="false" customHeight="true" outlineLevel="0" collapsed="false">
      <c r="A6" s="23" t="s">
        <v>174</v>
      </c>
      <c r="B6" s="5" t="s">
        <v>175</v>
      </c>
      <c r="C6" s="5" t="s">
        <v>168</v>
      </c>
    </row>
    <row r="7" customFormat="false" ht="27.75" hidden="false" customHeight="true" outlineLevel="0" collapsed="false">
      <c r="A7" s="23" t="s">
        <v>176</v>
      </c>
      <c r="B7" s="5" t="s">
        <v>177</v>
      </c>
      <c r="C7" s="5" t="s">
        <v>168</v>
      </c>
    </row>
    <row r="8" customFormat="false" ht="27.75" hidden="false" customHeight="true" outlineLevel="0" collapsed="false">
      <c r="A8" s="23" t="s">
        <v>178</v>
      </c>
      <c r="B8" s="5" t="s">
        <v>179</v>
      </c>
      <c r="C8" s="5" t="s">
        <v>180</v>
      </c>
      <c r="D8" s="16" t="n">
        <f aca="false">2*'Format court'!$D$23+'Format long'!$D$27+'Logistique vague'!$D$9</f>
        <v>9034.5</v>
      </c>
      <c r="E8" s="16" t="n">
        <f aca="false">2*'Format court'!$F$23+'Format long'!$F$27+'Logistique vague'!$D$9</f>
        <v>20614.95</v>
      </c>
    </row>
    <row r="9" customFormat="false" ht="27.75" hidden="false" customHeight="true" outlineLevel="0" collapsed="false">
      <c r="A9" s="23" t="s">
        <v>181</v>
      </c>
      <c r="B9" s="5" t="s">
        <v>182</v>
      </c>
      <c r="C9" s="5" t="s">
        <v>168</v>
      </c>
    </row>
    <row r="10" customFormat="false" ht="27.75" hidden="false" customHeight="true" outlineLevel="0" collapsed="false">
      <c r="A10" s="23" t="s">
        <v>183</v>
      </c>
      <c r="B10" s="5" t="s">
        <v>184</v>
      </c>
      <c r="C10" s="5" t="s">
        <v>168</v>
      </c>
    </row>
    <row r="11" customFormat="false" ht="27.75" hidden="false" customHeight="true" outlineLevel="0" collapsed="false">
      <c r="A11" s="23" t="s">
        <v>185</v>
      </c>
      <c r="B11" s="5" t="s">
        <v>186</v>
      </c>
      <c r="C11" s="5" t="s">
        <v>168</v>
      </c>
    </row>
    <row r="12" customFormat="false" ht="23.85" hidden="false" customHeight="false" outlineLevel="0" collapsed="false">
      <c r="A12" s="2" t="s">
        <v>187</v>
      </c>
      <c r="B12" s="3"/>
      <c r="C12" s="3"/>
      <c r="D12" s="17" t="n">
        <f aca="false">D5+D8</f>
        <v>18069</v>
      </c>
      <c r="E12" s="17" t="n">
        <f aca="false">E5+E8</f>
        <v>41229.9</v>
      </c>
    </row>
    <row r="13" customFormat="false" ht="15" hidden="false" customHeight="false" outlineLevel="0" collapsed="false">
      <c r="A13" s="12" t="s">
        <v>188</v>
      </c>
      <c r="D13" s="16" t="n">
        <f aca="false">D12-Synthèse!$D$13</f>
        <v>0</v>
      </c>
      <c r="E13" s="16" t="n">
        <f aca="false">E12-Synthèse!$E$13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2026-10-28T09:40:59Z</dcterms:created>
  <dc:creator>openpyxl</dc:creator>
  <dc:description/>
  <dc:language>en-US</dc:language>
  <cp:lastModifiedBy/>
  <dcterms:modified xsi:type="dcterms:W3CDTF">2026-10-28T09:40:59Z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